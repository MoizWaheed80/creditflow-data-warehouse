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ddd1d45b9ae2913d/Desktop/creditflow-data-warehouse/source/Excel/"/>
    </mc:Choice>
  </mc:AlternateContent>
  <xr:revisionPtr revIDLastSave="615" documentId="11_BB6BFAEF3CE56EECD85BAF3281E90443DD7C4B32" xr6:coauthVersionLast="47" xr6:coauthVersionMax="47" xr10:uidLastSave="{E8560A48-F391-4CEE-B44A-8341A30DE514}"/>
  <bookViews>
    <workbookView xWindow="-120" yWindow="-120" windowWidth="29040" windowHeight="15720" xr2:uid="{00000000-000D-0000-FFFF-FFFF00000000}"/>
  </bookViews>
  <sheets>
    <sheet name="Loan Book 2018-2019" sheetId="1" r:id="rId1"/>
    <sheet name="Loan Book 2020-2021" sheetId="9" r:id="rId2"/>
    <sheet name="Sheet1" sheetId="10" state="hidden" r:id="rId3"/>
    <sheet name="Loan Book 2022-2023" sheetId="2" r:id="rId4"/>
    <sheet name="SF_Accounts" sheetId="3" r:id="rId5"/>
    <sheet name="SF_Contacts" sheetId="4" r:id="rId6"/>
    <sheet name="SF_Opportunities" sheetId="5" r:id="rId7"/>
    <sheet name="Odoo_Customers" sheetId="6" r:id="rId8"/>
    <sheet name="Odoo_SalesOrders" sheetId="7" r:id="rId9"/>
    <sheet name="Odoo_Invoices" sheetId="8" r:id="rId10"/>
  </sheets>
  <definedNames>
    <definedName name="_xlnm._FilterDatabase" localSheetId="7" hidden="1">Odoo_Customers!$A$1:$M$32</definedName>
    <definedName name="_xlnm._FilterDatabase" localSheetId="9" hidden="1">Odoo_Invoices!$L$1:$L$66</definedName>
    <definedName name="_xlnm._FilterDatabase" localSheetId="8" hidden="1">Odoo_SalesOrders!$A$1:$J$90</definedName>
    <definedName name="_xlnm._FilterDatabase" localSheetId="4" hidden="1">SF_Accounts!$D$1:$D$38</definedName>
    <definedName name="_xlnm._FilterDatabase" localSheetId="5" hidden="1">SF_Contacts!$A$1:$I$47</definedName>
    <definedName name="_xlnm._FilterDatabase" localSheetId="6" hidden="1">SF_Opportunities!$A$1:$M$76</definedName>
  </definedNames>
  <calcPr calcId="191029"/>
  <pivotCaches>
    <pivotCache cacheId="0" r:id="rId11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9" i="8" l="1"/>
  <c r="L17" i="8"/>
  <c r="L25" i="8"/>
  <c r="L33" i="8"/>
  <c r="L41" i="8"/>
  <c r="L49" i="8"/>
  <c r="L57" i="8"/>
  <c r="L65" i="8"/>
  <c r="J3" i="8"/>
  <c r="J4" i="8"/>
  <c r="J5" i="8"/>
  <c r="J6" i="8"/>
  <c r="J7" i="8"/>
  <c r="J8" i="8"/>
  <c r="J9" i="8"/>
  <c r="J10" i="8"/>
  <c r="J11" i="8"/>
  <c r="J12" i="8"/>
  <c r="J13" i="8"/>
  <c r="J14" i="8"/>
  <c r="J15" i="8"/>
  <c r="J16" i="8"/>
  <c r="J17" i="8"/>
  <c r="J18" i="8"/>
  <c r="J19" i="8"/>
  <c r="J20" i="8"/>
  <c r="J21" i="8"/>
  <c r="J22" i="8"/>
  <c r="J23" i="8"/>
  <c r="J24" i="8"/>
  <c r="J25" i="8"/>
  <c r="J26" i="8"/>
  <c r="J27" i="8"/>
  <c r="J28" i="8"/>
  <c r="J29" i="8"/>
  <c r="J30" i="8"/>
  <c r="J31" i="8"/>
  <c r="J32" i="8"/>
  <c r="J33" i="8"/>
  <c r="J34" i="8"/>
  <c r="J35" i="8"/>
  <c r="J36" i="8"/>
  <c r="J37" i="8"/>
  <c r="J38" i="8"/>
  <c r="J39" i="8"/>
  <c r="J40" i="8"/>
  <c r="J41" i="8"/>
  <c r="J42" i="8"/>
  <c r="J43" i="8"/>
  <c r="J44" i="8"/>
  <c r="J45" i="8"/>
  <c r="J46" i="8"/>
  <c r="J47" i="8"/>
  <c r="J48" i="8"/>
  <c r="J49" i="8"/>
  <c r="J50" i="8"/>
  <c r="J51" i="8"/>
  <c r="J52" i="8"/>
  <c r="J53" i="8"/>
  <c r="J54" i="8"/>
  <c r="J55" i="8"/>
  <c r="J56" i="8"/>
  <c r="J57" i="8"/>
  <c r="J58" i="8"/>
  <c r="J59" i="8"/>
  <c r="J60" i="8"/>
  <c r="J61" i="8"/>
  <c r="J62" i="8"/>
  <c r="J63" i="8"/>
  <c r="J64" i="8"/>
  <c r="J65" i="8"/>
  <c r="J66" i="8"/>
  <c r="J2" i="8"/>
  <c r="F3" i="8"/>
  <c r="F4" i="8"/>
  <c r="F5" i="8"/>
  <c r="F6" i="8"/>
  <c r="F7" i="8"/>
  <c r="F8" i="8"/>
  <c r="F9" i="8"/>
  <c r="F10" i="8"/>
  <c r="F11" i="8"/>
  <c r="F12" i="8"/>
  <c r="F13" i="8"/>
  <c r="F14" i="8"/>
  <c r="F15" i="8"/>
  <c r="F16" i="8"/>
  <c r="F17" i="8"/>
  <c r="F18" i="8"/>
  <c r="F19" i="8"/>
  <c r="F20" i="8"/>
  <c r="F21" i="8"/>
  <c r="F22" i="8"/>
  <c r="F23" i="8"/>
  <c r="F24" i="8"/>
  <c r="F25" i="8"/>
  <c r="F26" i="8"/>
  <c r="F27" i="8"/>
  <c r="F28" i="8"/>
  <c r="F29" i="8"/>
  <c r="F30" i="8"/>
  <c r="F31" i="8"/>
  <c r="F32" i="8"/>
  <c r="F33" i="8"/>
  <c r="F34" i="8"/>
  <c r="F35" i="8"/>
  <c r="F36" i="8"/>
  <c r="F37" i="8"/>
  <c r="F38" i="8"/>
  <c r="F39" i="8"/>
  <c r="F40" i="8"/>
  <c r="F41" i="8"/>
  <c r="F42" i="8"/>
  <c r="F43" i="8"/>
  <c r="F44" i="8"/>
  <c r="F45" i="8"/>
  <c r="F46" i="8"/>
  <c r="F47" i="8"/>
  <c r="F48" i="8"/>
  <c r="F49" i="8"/>
  <c r="F50" i="8"/>
  <c r="F51" i="8"/>
  <c r="F52" i="8"/>
  <c r="F53" i="8"/>
  <c r="F54" i="8"/>
  <c r="F55" i="8"/>
  <c r="F56" i="8"/>
  <c r="F57" i="8"/>
  <c r="F58" i="8"/>
  <c r="F59" i="8"/>
  <c r="F60" i="8"/>
  <c r="F61" i="8"/>
  <c r="F62" i="8"/>
  <c r="F63" i="8"/>
  <c r="F64" i="8"/>
  <c r="F65" i="8"/>
  <c r="F66" i="8"/>
  <c r="F2" i="8"/>
  <c r="D3" i="8"/>
  <c r="L3" i="8" s="1"/>
  <c r="D4" i="8"/>
  <c r="L4" i="8" s="1"/>
  <c r="D5" i="8"/>
  <c r="L5" i="8" s="1"/>
  <c r="D6" i="8"/>
  <c r="L6" i="8" s="1"/>
  <c r="D7" i="8"/>
  <c r="L7" i="8" s="1"/>
  <c r="D8" i="8"/>
  <c r="L8" i="8" s="1"/>
  <c r="D9" i="8"/>
  <c r="D10" i="8"/>
  <c r="L10" i="8" s="1"/>
  <c r="D11" i="8"/>
  <c r="L11" i="8" s="1"/>
  <c r="D12" i="8"/>
  <c r="L12" i="8" s="1"/>
  <c r="D13" i="8"/>
  <c r="L13" i="8" s="1"/>
  <c r="D14" i="8"/>
  <c r="L14" i="8" s="1"/>
  <c r="D15" i="8"/>
  <c r="L15" i="8" s="1"/>
  <c r="D16" i="8"/>
  <c r="L16" i="8" s="1"/>
  <c r="D17" i="8"/>
  <c r="D18" i="8"/>
  <c r="L18" i="8" s="1"/>
  <c r="D19" i="8"/>
  <c r="L19" i="8" s="1"/>
  <c r="D20" i="8"/>
  <c r="L20" i="8" s="1"/>
  <c r="D21" i="8"/>
  <c r="L21" i="8" s="1"/>
  <c r="D22" i="8"/>
  <c r="L22" i="8" s="1"/>
  <c r="D23" i="8"/>
  <c r="L23" i="8" s="1"/>
  <c r="D24" i="8"/>
  <c r="L24" i="8" s="1"/>
  <c r="D25" i="8"/>
  <c r="D26" i="8"/>
  <c r="L26" i="8" s="1"/>
  <c r="D27" i="8"/>
  <c r="L27" i="8" s="1"/>
  <c r="D28" i="8"/>
  <c r="L28" i="8" s="1"/>
  <c r="D29" i="8"/>
  <c r="L29" i="8" s="1"/>
  <c r="D30" i="8"/>
  <c r="L30" i="8" s="1"/>
  <c r="D31" i="8"/>
  <c r="L31" i="8" s="1"/>
  <c r="D32" i="8"/>
  <c r="L32" i="8" s="1"/>
  <c r="D33" i="8"/>
  <c r="D34" i="8"/>
  <c r="L34" i="8" s="1"/>
  <c r="D35" i="8"/>
  <c r="L35" i="8" s="1"/>
  <c r="D36" i="8"/>
  <c r="L36" i="8" s="1"/>
  <c r="D37" i="8"/>
  <c r="L37" i="8" s="1"/>
  <c r="D38" i="8"/>
  <c r="L38" i="8" s="1"/>
  <c r="D39" i="8"/>
  <c r="L39" i="8" s="1"/>
  <c r="D40" i="8"/>
  <c r="L40" i="8" s="1"/>
  <c r="D41" i="8"/>
  <c r="D42" i="8"/>
  <c r="L42" i="8" s="1"/>
  <c r="D43" i="8"/>
  <c r="L43" i="8" s="1"/>
  <c r="D44" i="8"/>
  <c r="L44" i="8" s="1"/>
  <c r="D45" i="8"/>
  <c r="L45" i="8" s="1"/>
  <c r="D46" i="8"/>
  <c r="L46" i="8" s="1"/>
  <c r="D47" i="8"/>
  <c r="L47" i="8" s="1"/>
  <c r="D48" i="8"/>
  <c r="L48" i="8" s="1"/>
  <c r="D49" i="8"/>
  <c r="D50" i="8"/>
  <c r="L50" i="8" s="1"/>
  <c r="D51" i="8"/>
  <c r="L51" i="8" s="1"/>
  <c r="D52" i="8"/>
  <c r="L52" i="8" s="1"/>
  <c r="D53" i="8"/>
  <c r="L53" i="8" s="1"/>
  <c r="D54" i="8"/>
  <c r="L54" i="8" s="1"/>
  <c r="D55" i="8"/>
  <c r="L55" i="8" s="1"/>
  <c r="D56" i="8"/>
  <c r="L56" i="8" s="1"/>
  <c r="D57" i="8"/>
  <c r="D58" i="8"/>
  <c r="L58" i="8" s="1"/>
  <c r="D59" i="8"/>
  <c r="L59" i="8" s="1"/>
  <c r="D60" i="8"/>
  <c r="L60" i="8" s="1"/>
  <c r="D61" i="8"/>
  <c r="L61" i="8" s="1"/>
  <c r="D62" i="8"/>
  <c r="L62" i="8" s="1"/>
  <c r="D63" i="8"/>
  <c r="L63" i="8" s="1"/>
  <c r="D64" i="8"/>
  <c r="L64" i="8" s="1"/>
  <c r="D65" i="8"/>
  <c r="D66" i="8"/>
  <c r="L66" i="8" s="1"/>
  <c r="D2" i="8"/>
  <c r="L2" i="8" s="1"/>
  <c r="B3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5" i="8"/>
  <c r="B56" i="8"/>
  <c r="B57" i="8"/>
  <c r="B58" i="8"/>
  <c r="B59" i="8"/>
  <c r="B60" i="8"/>
  <c r="B61" i="8"/>
  <c r="B62" i="8"/>
  <c r="B63" i="8"/>
  <c r="B64" i="8"/>
  <c r="B65" i="8"/>
  <c r="B66" i="8"/>
  <c r="B2" i="8"/>
  <c r="I3" i="7"/>
  <c r="I4" i="7"/>
  <c r="I5" i="7"/>
  <c r="I6" i="7"/>
  <c r="I7" i="7"/>
  <c r="I8" i="7"/>
  <c r="I9" i="7"/>
  <c r="I10" i="7"/>
  <c r="I11" i="7"/>
  <c r="I12" i="7"/>
  <c r="I13" i="7"/>
  <c r="I14" i="7"/>
  <c r="I15" i="7"/>
  <c r="I16" i="7"/>
  <c r="I17" i="7"/>
  <c r="I18" i="7"/>
  <c r="I19" i="7"/>
  <c r="I20" i="7"/>
  <c r="I21" i="7"/>
  <c r="I22" i="7"/>
  <c r="I23" i="7"/>
  <c r="I24" i="7"/>
  <c r="I25" i="7"/>
  <c r="I26" i="7"/>
  <c r="I27" i="7"/>
  <c r="I28" i="7"/>
  <c r="I29" i="7"/>
  <c r="I30" i="7"/>
  <c r="I31" i="7"/>
  <c r="I32" i="7"/>
  <c r="I33" i="7"/>
  <c r="I34" i="7"/>
  <c r="I35" i="7"/>
  <c r="I36" i="7"/>
  <c r="I37" i="7"/>
  <c r="I38" i="7"/>
  <c r="I39" i="7"/>
  <c r="I40" i="7"/>
  <c r="I41" i="7"/>
  <c r="I42" i="7"/>
  <c r="I43" i="7"/>
  <c r="I44" i="7"/>
  <c r="I45" i="7"/>
  <c r="I46" i="7"/>
  <c r="I47" i="7"/>
  <c r="I48" i="7"/>
  <c r="I49" i="7"/>
  <c r="I50" i="7"/>
  <c r="I51" i="7"/>
  <c r="I52" i="7"/>
  <c r="I53" i="7"/>
  <c r="I54" i="7"/>
  <c r="I55" i="7"/>
  <c r="I56" i="7"/>
  <c r="I57" i="7"/>
  <c r="I58" i="7"/>
  <c r="I59" i="7"/>
  <c r="I60" i="7"/>
  <c r="I61" i="7"/>
  <c r="I62" i="7"/>
  <c r="I63" i="7"/>
  <c r="I64" i="7"/>
  <c r="I65" i="7"/>
  <c r="I66" i="7"/>
  <c r="I67" i="7"/>
  <c r="I68" i="7"/>
  <c r="I69" i="7"/>
  <c r="I70" i="7"/>
  <c r="I71" i="7"/>
  <c r="I72" i="7"/>
  <c r="I73" i="7"/>
  <c r="I74" i="7"/>
  <c r="I75" i="7"/>
  <c r="I76" i="7"/>
  <c r="I77" i="7"/>
  <c r="I78" i="7"/>
  <c r="I79" i="7"/>
  <c r="I80" i="7"/>
  <c r="I81" i="7"/>
  <c r="I82" i="7"/>
  <c r="I83" i="7"/>
  <c r="I84" i="7"/>
  <c r="I85" i="7"/>
  <c r="I86" i="7"/>
  <c r="I87" i="7"/>
  <c r="I88" i="7"/>
  <c r="I89" i="7"/>
  <c r="I90" i="7"/>
  <c r="I2" i="7"/>
  <c r="D3" i="7"/>
  <c r="D4" i="7"/>
  <c r="D5" i="7"/>
  <c r="D6" i="7"/>
  <c r="D7" i="7"/>
  <c r="D8" i="7"/>
  <c r="D9" i="7"/>
  <c r="D10" i="7"/>
  <c r="D11" i="7"/>
  <c r="D12" i="7"/>
  <c r="D13" i="7"/>
  <c r="D14" i="7"/>
  <c r="D15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D35" i="7"/>
  <c r="D36" i="7"/>
  <c r="D37" i="7"/>
  <c r="D38" i="7"/>
  <c r="D39" i="7"/>
  <c r="D40" i="7"/>
  <c r="D41" i="7"/>
  <c r="D42" i="7"/>
  <c r="D43" i="7"/>
  <c r="D44" i="7"/>
  <c r="D45" i="7"/>
  <c r="D46" i="7"/>
  <c r="D47" i="7"/>
  <c r="D48" i="7"/>
  <c r="D49" i="7"/>
  <c r="D50" i="7"/>
  <c r="D51" i="7"/>
  <c r="D52" i="7"/>
  <c r="D53" i="7"/>
  <c r="D54" i="7"/>
  <c r="D55" i="7"/>
  <c r="D56" i="7"/>
  <c r="D57" i="7"/>
  <c r="D58" i="7"/>
  <c r="D59" i="7"/>
  <c r="D60" i="7"/>
  <c r="D61" i="7"/>
  <c r="D62" i="7"/>
  <c r="D63" i="7"/>
  <c r="D64" i="7"/>
  <c r="D65" i="7"/>
  <c r="D66" i="7"/>
  <c r="D67" i="7"/>
  <c r="D68" i="7"/>
  <c r="D69" i="7"/>
  <c r="D70" i="7"/>
  <c r="D71" i="7"/>
  <c r="D72" i="7"/>
  <c r="D73" i="7"/>
  <c r="D74" i="7"/>
  <c r="D75" i="7"/>
  <c r="D76" i="7"/>
  <c r="D77" i="7"/>
  <c r="D78" i="7"/>
  <c r="D79" i="7"/>
  <c r="D80" i="7"/>
  <c r="D81" i="7"/>
  <c r="D82" i="7"/>
  <c r="D83" i="7"/>
  <c r="D84" i="7"/>
  <c r="D85" i="7"/>
  <c r="D86" i="7"/>
  <c r="D87" i="7"/>
  <c r="D88" i="7"/>
  <c r="D89" i="7"/>
  <c r="D90" i="7"/>
  <c r="D2" i="7"/>
  <c r="B3" i="7"/>
  <c r="B4" i="7"/>
  <c r="B5" i="7"/>
  <c r="B6" i="7"/>
  <c r="B7" i="7"/>
  <c r="B8" i="7"/>
  <c r="B9" i="7"/>
  <c r="B10" i="7"/>
  <c r="B11" i="7"/>
  <c r="B12" i="7"/>
  <c r="B13" i="7"/>
  <c r="B14" i="7"/>
  <c r="B15" i="7"/>
  <c r="B16" i="7"/>
  <c r="B17" i="7"/>
  <c r="B18" i="7"/>
  <c r="B19" i="7"/>
  <c r="B20" i="7"/>
  <c r="B21" i="7"/>
  <c r="B22" i="7"/>
  <c r="B23" i="7"/>
  <c r="B24" i="7"/>
  <c r="B25" i="7"/>
  <c r="B26" i="7"/>
  <c r="B27" i="7"/>
  <c r="B28" i="7"/>
  <c r="B29" i="7"/>
  <c r="B30" i="7"/>
  <c r="B31" i="7"/>
  <c r="B32" i="7"/>
  <c r="B33" i="7"/>
  <c r="B34" i="7"/>
  <c r="B35" i="7"/>
  <c r="B36" i="7"/>
  <c r="B37" i="7"/>
  <c r="B38" i="7"/>
  <c r="B39" i="7"/>
  <c r="B40" i="7"/>
  <c r="B41" i="7"/>
  <c r="B42" i="7"/>
  <c r="B43" i="7"/>
  <c r="B44" i="7"/>
  <c r="B45" i="7"/>
  <c r="B46" i="7"/>
  <c r="B47" i="7"/>
  <c r="B48" i="7"/>
  <c r="B49" i="7"/>
  <c r="B50" i="7"/>
  <c r="B51" i="7"/>
  <c r="B52" i="7"/>
  <c r="B53" i="7"/>
  <c r="B54" i="7"/>
  <c r="B55" i="7"/>
  <c r="B56" i="7"/>
  <c r="B57" i="7"/>
  <c r="B58" i="7"/>
  <c r="B59" i="7"/>
  <c r="B60" i="7"/>
  <c r="B61" i="7"/>
  <c r="B62" i="7"/>
  <c r="B63" i="7"/>
  <c r="B64" i="7"/>
  <c r="B65" i="7"/>
  <c r="B66" i="7"/>
  <c r="B67" i="7"/>
  <c r="B68" i="7"/>
  <c r="B69" i="7"/>
  <c r="B70" i="7"/>
  <c r="B71" i="7"/>
  <c r="B72" i="7"/>
  <c r="B73" i="7"/>
  <c r="B74" i="7"/>
  <c r="B75" i="7"/>
  <c r="B76" i="7"/>
  <c r="B77" i="7"/>
  <c r="B78" i="7"/>
  <c r="B79" i="7"/>
  <c r="B80" i="7"/>
  <c r="B81" i="7"/>
  <c r="B82" i="7"/>
  <c r="B83" i="7"/>
  <c r="B84" i="7"/>
  <c r="B85" i="7"/>
  <c r="B86" i="7"/>
  <c r="B87" i="7"/>
  <c r="B88" i="7"/>
  <c r="B89" i="7"/>
  <c r="B90" i="7"/>
  <c r="B2" i="7"/>
  <c r="H3" i="6"/>
  <c r="H4" i="6"/>
  <c r="H5" i="6"/>
  <c r="H6" i="6"/>
  <c r="H7" i="6"/>
  <c r="H8" i="6"/>
  <c r="H9" i="6"/>
  <c r="H10" i="6"/>
  <c r="H11" i="6"/>
  <c r="H12" i="6"/>
  <c r="H13" i="6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2" i="6"/>
  <c r="B3" i="6"/>
  <c r="B4" i="6"/>
  <c r="B5" i="6"/>
  <c r="B6" i="6"/>
  <c r="B7" i="6"/>
  <c r="B8" i="6"/>
  <c r="B9" i="6"/>
  <c r="B10" i="6"/>
  <c r="B11" i="6"/>
  <c r="B12" i="6"/>
  <c r="B13" i="6"/>
  <c r="B14" i="6"/>
  <c r="B15" i="6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32" i="6"/>
  <c r="B2" i="6"/>
  <c r="D3" i="6"/>
  <c r="D4" i="6"/>
  <c r="D5" i="6"/>
  <c r="D6" i="6"/>
  <c r="D7" i="6"/>
  <c r="D8" i="6"/>
  <c r="D9" i="6"/>
  <c r="D10" i="6"/>
  <c r="D11" i="6"/>
  <c r="D12" i="6"/>
  <c r="D13" i="6"/>
  <c r="D14" i="6"/>
  <c r="D15" i="6"/>
  <c r="D16" i="6"/>
  <c r="D17" i="6"/>
  <c r="D18" i="6"/>
  <c r="D19" i="6"/>
  <c r="D20" i="6"/>
  <c r="D21" i="6"/>
  <c r="D22" i="6"/>
  <c r="D23" i="6"/>
  <c r="D24" i="6"/>
  <c r="D25" i="6"/>
  <c r="D26" i="6"/>
  <c r="D27" i="6"/>
  <c r="D28" i="6"/>
  <c r="D29" i="6"/>
  <c r="D30" i="6"/>
  <c r="D31" i="6"/>
  <c r="D32" i="6"/>
  <c r="D2" i="6"/>
  <c r="J3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2" i="6"/>
  <c r="L2" i="6"/>
  <c r="L3" i="6"/>
  <c r="L4" i="6"/>
  <c r="L5" i="6"/>
  <c r="L6" i="6"/>
  <c r="L7" i="6"/>
  <c r="L8" i="6"/>
  <c r="L9" i="6"/>
  <c r="L10" i="6"/>
  <c r="L11" i="6"/>
  <c r="L12" i="6"/>
  <c r="L13" i="6"/>
  <c r="L14" i="6"/>
  <c r="L15" i="6"/>
  <c r="L16" i="6"/>
  <c r="L17" i="6"/>
  <c r="L18" i="6"/>
  <c r="L19" i="6"/>
  <c r="L20" i="6"/>
  <c r="L21" i="6"/>
  <c r="L22" i="6"/>
  <c r="L23" i="6"/>
  <c r="L24" i="6"/>
  <c r="L25" i="6"/>
  <c r="L26" i="6"/>
  <c r="L27" i="6"/>
  <c r="L28" i="6"/>
  <c r="L29" i="6"/>
  <c r="L30" i="6"/>
  <c r="L31" i="6"/>
  <c r="L32" i="6"/>
  <c r="J3" i="5"/>
  <c r="J4" i="5"/>
  <c r="J5" i="5"/>
  <c r="J6" i="5"/>
  <c r="J7" i="5"/>
  <c r="J8" i="5"/>
  <c r="J9" i="5"/>
  <c r="J10" i="5"/>
  <c r="J11" i="5"/>
  <c r="J12" i="5"/>
  <c r="J13" i="5"/>
  <c r="J14" i="5"/>
  <c r="J15" i="5"/>
  <c r="J16" i="5"/>
  <c r="J17" i="5"/>
  <c r="J18" i="5"/>
  <c r="J19" i="5"/>
  <c r="J20" i="5"/>
  <c r="J21" i="5"/>
  <c r="J22" i="5"/>
  <c r="J23" i="5"/>
  <c r="J24" i="5"/>
  <c r="J25" i="5"/>
  <c r="J26" i="5"/>
  <c r="J27" i="5"/>
  <c r="J28" i="5"/>
  <c r="J29" i="5"/>
  <c r="J30" i="5"/>
  <c r="J31" i="5"/>
  <c r="J32" i="5"/>
  <c r="J33" i="5"/>
  <c r="J34" i="5"/>
  <c r="J35" i="5"/>
  <c r="J36" i="5"/>
  <c r="J37" i="5"/>
  <c r="J38" i="5"/>
  <c r="J39" i="5"/>
  <c r="J40" i="5"/>
  <c r="J41" i="5"/>
  <c r="J42" i="5"/>
  <c r="J43" i="5"/>
  <c r="J44" i="5"/>
  <c r="J45" i="5"/>
  <c r="J46" i="5"/>
  <c r="J47" i="5"/>
  <c r="J48" i="5"/>
  <c r="J49" i="5"/>
  <c r="J50" i="5"/>
  <c r="J51" i="5"/>
  <c r="J52" i="5"/>
  <c r="J53" i="5"/>
  <c r="J54" i="5"/>
  <c r="J55" i="5"/>
  <c r="J56" i="5"/>
  <c r="J57" i="5"/>
  <c r="J58" i="5"/>
  <c r="J59" i="5"/>
  <c r="J60" i="5"/>
  <c r="J61" i="5"/>
  <c r="J62" i="5"/>
  <c r="J63" i="5"/>
  <c r="J64" i="5"/>
  <c r="J65" i="5"/>
  <c r="J66" i="5"/>
  <c r="J67" i="5"/>
  <c r="J68" i="5"/>
  <c r="J69" i="5"/>
  <c r="J70" i="5"/>
  <c r="J71" i="5"/>
  <c r="J72" i="5"/>
  <c r="J73" i="5"/>
  <c r="J74" i="5"/>
  <c r="J75" i="5"/>
  <c r="J76" i="5"/>
  <c r="J2" i="5"/>
  <c r="F3" i="5"/>
  <c r="F4" i="5"/>
  <c r="F5" i="5"/>
  <c r="F6" i="5"/>
  <c r="F7" i="5"/>
  <c r="F8" i="5"/>
  <c r="F9" i="5"/>
  <c r="F10" i="5"/>
  <c r="F11" i="5"/>
  <c r="F12" i="5"/>
  <c r="F13" i="5"/>
  <c r="F14" i="5"/>
  <c r="F15" i="5"/>
  <c r="F16" i="5"/>
  <c r="F17" i="5"/>
  <c r="F18" i="5"/>
  <c r="F19" i="5"/>
  <c r="F20" i="5"/>
  <c r="F21" i="5"/>
  <c r="F22" i="5"/>
  <c r="F23" i="5"/>
  <c r="F24" i="5"/>
  <c r="F25" i="5"/>
  <c r="F26" i="5"/>
  <c r="F27" i="5"/>
  <c r="F28" i="5"/>
  <c r="F29" i="5"/>
  <c r="F30" i="5"/>
  <c r="F31" i="5"/>
  <c r="F32" i="5"/>
  <c r="F33" i="5"/>
  <c r="F34" i="5"/>
  <c r="F35" i="5"/>
  <c r="F36" i="5"/>
  <c r="F37" i="5"/>
  <c r="F38" i="5"/>
  <c r="F39" i="5"/>
  <c r="F40" i="5"/>
  <c r="F41" i="5"/>
  <c r="F42" i="5"/>
  <c r="F43" i="5"/>
  <c r="F44" i="5"/>
  <c r="F45" i="5"/>
  <c r="F46" i="5"/>
  <c r="F47" i="5"/>
  <c r="F48" i="5"/>
  <c r="F49" i="5"/>
  <c r="F50" i="5"/>
  <c r="F51" i="5"/>
  <c r="F52" i="5"/>
  <c r="F53" i="5"/>
  <c r="F54" i="5"/>
  <c r="F55" i="5"/>
  <c r="F56" i="5"/>
  <c r="F57" i="5"/>
  <c r="F58" i="5"/>
  <c r="F59" i="5"/>
  <c r="F60" i="5"/>
  <c r="F61" i="5"/>
  <c r="F62" i="5"/>
  <c r="F63" i="5"/>
  <c r="F64" i="5"/>
  <c r="F65" i="5"/>
  <c r="F66" i="5"/>
  <c r="F67" i="5"/>
  <c r="F68" i="5"/>
  <c r="F69" i="5"/>
  <c r="F70" i="5"/>
  <c r="F71" i="5"/>
  <c r="F72" i="5"/>
  <c r="F73" i="5"/>
  <c r="F74" i="5"/>
  <c r="F75" i="5"/>
  <c r="F76" i="5"/>
  <c r="F2" i="5"/>
  <c r="D3" i="5"/>
  <c r="D4" i="5"/>
  <c r="D5" i="5"/>
  <c r="D6" i="5"/>
  <c r="D7" i="5"/>
  <c r="D8" i="5"/>
  <c r="D9" i="5"/>
  <c r="D10" i="5"/>
  <c r="D11" i="5"/>
  <c r="D12" i="5"/>
  <c r="D13" i="5"/>
  <c r="D14" i="5"/>
  <c r="D15" i="5"/>
  <c r="D16" i="5"/>
  <c r="D17" i="5"/>
  <c r="D18" i="5"/>
  <c r="D19" i="5"/>
  <c r="D20" i="5"/>
  <c r="D21" i="5"/>
  <c r="D22" i="5"/>
  <c r="D23" i="5"/>
  <c r="D24" i="5"/>
  <c r="D25" i="5"/>
  <c r="D26" i="5"/>
  <c r="D27" i="5"/>
  <c r="D28" i="5"/>
  <c r="D29" i="5"/>
  <c r="D30" i="5"/>
  <c r="D31" i="5"/>
  <c r="D32" i="5"/>
  <c r="D33" i="5"/>
  <c r="D34" i="5"/>
  <c r="D35" i="5"/>
  <c r="D36" i="5"/>
  <c r="D37" i="5"/>
  <c r="D38" i="5"/>
  <c r="D39" i="5"/>
  <c r="D40" i="5"/>
  <c r="D41" i="5"/>
  <c r="D42" i="5"/>
  <c r="D43" i="5"/>
  <c r="D44" i="5"/>
  <c r="D45" i="5"/>
  <c r="D46" i="5"/>
  <c r="D47" i="5"/>
  <c r="D48" i="5"/>
  <c r="D49" i="5"/>
  <c r="D50" i="5"/>
  <c r="D51" i="5"/>
  <c r="D52" i="5"/>
  <c r="D53" i="5"/>
  <c r="D54" i="5"/>
  <c r="D55" i="5"/>
  <c r="D56" i="5"/>
  <c r="D57" i="5"/>
  <c r="D58" i="5"/>
  <c r="D59" i="5"/>
  <c r="D60" i="5"/>
  <c r="D61" i="5"/>
  <c r="D62" i="5"/>
  <c r="D63" i="5"/>
  <c r="D64" i="5"/>
  <c r="D65" i="5"/>
  <c r="D66" i="5"/>
  <c r="D67" i="5"/>
  <c r="D68" i="5"/>
  <c r="D69" i="5"/>
  <c r="D70" i="5"/>
  <c r="D71" i="5"/>
  <c r="D72" i="5"/>
  <c r="D73" i="5"/>
  <c r="D74" i="5"/>
  <c r="D75" i="5"/>
  <c r="D76" i="5"/>
  <c r="D2" i="5"/>
  <c r="B3" i="5"/>
  <c r="B4" i="5"/>
  <c r="B5" i="5"/>
  <c r="B6" i="5"/>
  <c r="B7" i="5"/>
  <c r="B8" i="5"/>
  <c r="B9" i="5"/>
  <c r="B10" i="5"/>
  <c r="B11" i="5"/>
  <c r="B12" i="5"/>
  <c r="B13" i="5"/>
  <c r="B14" i="5"/>
  <c r="B15" i="5"/>
  <c r="B16" i="5"/>
  <c r="B17" i="5"/>
  <c r="B18" i="5"/>
  <c r="B19" i="5"/>
  <c r="B20" i="5"/>
  <c r="B21" i="5"/>
  <c r="B22" i="5"/>
  <c r="B23" i="5"/>
  <c r="B24" i="5"/>
  <c r="B25" i="5"/>
  <c r="B26" i="5"/>
  <c r="B27" i="5"/>
  <c r="B28" i="5"/>
  <c r="B29" i="5"/>
  <c r="B30" i="5"/>
  <c r="B31" i="5"/>
  <c r="B32" i="5"/>
  <c r="B33" i="5"/>
  <c r="B34" i="5"/>
  <c r="B35" i="5"/>
  <c r="B36" i="5"/>
  <c r="B37" i="5"/>
  <c r="B38" i="5"/>
  <c r="B39" i="5"/>
  <c r="B40" i="5"/>
  <c r="B41" i="5"/>
  <c r="B42" i="5"/>
  <c r="B43" i="5"/>
  <c r="B44" i="5"/>
  <c r="B45" i="5"/>
  <c r="B46" i="5"/>
  <c r="B47" i="5"/>
  <c r="B48" i="5"/>
  <c r="B49" i="5"/>
  <c r="B50" i="5"/>
  <c r="B51" i="5"/>
  <c r="B52" i="5"/>
  <c r="B53" i="5"/>
  <c r="B54" i="5"/>
  <c r="B55" i="5"/>
  <c r="B56" i="5"/>
  <c r="B57" i="5"/>
  <c r="B58" i="5"/>
  <c r="B59" i="5"/>
  <c r="B60" i="5"/>
  <c r="B61" i="5"/>
  <c r="B62" i="5"/>
  <c r="B63" i="5"/>
  <c r="B64" i="5"/>
  <c r="B65" i="5"/>
  <c r="B66" i="5"/>
  <c r="B67" i="5"/>
  <c r="B68" i="5"/>
  <c r="B69" i="5"/>
  <c r="B70" i="5"/>
  <c r="B71" i="5"/>
  <c r="B72" i="5"/>
  <c r="B73" i="5"/>
  <c r="B74" i="5"/>
  <c r="B75" i="5"/>
  <c r="B76" i="5"/>
  <c r="B2" i="5"/>
  <c r="J3" i="4"/>
  <c r="J4" i="4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33" i="4"/>
  <c r="J34" i="4"/>
  <c r="J35" i="4"/>
  <c r="J36" i="4"/>
  <c r="J37" i="4"/>
  <c r="J38" i="4"/>
  <c r="J39" i="4"/>
  <c r="J40" i="4"/>
  <c r="J41" i="4"/>
  <c r="J42" i="4"/>
  <c r="J43" i="4"/>
  <c r="J44" i="4"/>
  <c r="J45" i="4"/>
  <c r="J46" i="4"/>
  <c r="J47" i="4"/>
  <c r="J2" i="4"/>
  <c r="B3" i="4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37" i="4"/>
  <c r="B38" i="4"/>
  <c r="B39" i="4"/>
  <c r="B40" i="4"/>
  <c r="B41" i="4"/>
  <c r="B42" i="4"/>
  <c r="B43" i="4"/>
  <c r="B44" i="4"/>
  <c r="B45" i="4"/>
  <c r="B46" i="4"/>
  <c r="B47" i="4"/>
  <c r="B2" i="4"/>
  <c r="H2" i="3"/>
  <c r="H3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A2" i="3"/>
  <c r="A3" i="3"/>
  <c r="A4" i="3"/>
  <c r="A5" i="3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29" i="3"/>
  <c r="A30" i="3"/>
  <c r="A31" i="3"/>
  <c r="A32" i="3"/>
  <c r="A33" i="3"/>
  <c r="A34" i="3"/>
  <c r="A35" i="3"/>
  <c r="A36" i="3"/>
  <c r="A37" i="3"/>
  <c r="A38" i="3"/>
  <c r="L38" i="3"/>
  <c r="L15" i="3"/>
  <c r="L16" i="3"/>
  <c r="L17" i="3"/>
  <c r="L18" i="3"/>
  <c r="L19" i="3"/>
  <c r="L20" i="3"/>
  <c r="L21" i="3"/>
  <c r="L22" i="3"/>
  <c r="L23" i="3"/>
  <c r="L24" i="3"/>
  <c r="L25" i="3"/>
  <c r="L26" i="3"/>
  <c r="L27" i="3"/>
  <c r="L28" i="3"/>
  <c r="L29" i="3"/>
  <c r="L30" i="3"/>
  <c r="L31" i="3"/>
  <c r="L32" i="3"/>
  <c r="L33" i="3"/>
  <c r="L34" i="3"/>
  <c r="L35" i="3"/>
  <c r="L36" i="3"/>
  <c r="L37" i="3"/>
  <c r="L3" i="3"/>
  <c r="L4" i="3"/>
  <c r="L5" i="3"/>
  <c r="L6" i="3"/>
  <c r="L7" i="3"/>
  <c r="L8" i="3"/>
  <c r="L9" i="3"/>
  <c r="L10" i="3"/>
  <c r="L11" i="3"/>
  <c r="L12" i="3"/>
  <c r="L13" i="3"/>
  <c r="L14" i="3"/>
  <c r="L2" i="3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2" i="3"/>
</calcChain>
</file>

<file path=xl/sharedStrings.xml><?xml version="1.0" encoding="utf-8"?>
<sst xmlns="http://schemas.openxmlformats.org/spreadsheetml/2006/main" count="2635" uniqueCount="1226">
  <si>
    <t>Amount (PKR)</t>
  </si>
  <si>
    <t>Metro Retail</t>
  </si>
  <si>
    <t>Term Loan</t>
  </si>
  <si>
    <t>Closed - Paid</t>
  </si>
  <si>
    <t>Crescent Steel</t>
  </si>
  <si>
    <t>Working Capital</t>
  </si>
  <si>
    <t>Al Habib Txt.</t>
  </si>
  <si>
    <t>Trade Finance</t>
  </si>
  <si>
    <t>Silverline Const.</t>
  </si>
  <si>
    <t>Defaulted</t>
  </si>
  <si>
    <t>Pearl Exports</t>
  </si>
  <si>
    <t>Sunrise Txt. Mills</t>
  </si>
  <si>
    <t>Active</t>
  </si>
  <si>
    <t>Restructured</t>
  </si>
  <si>
    <t>Natl. Grain Traders</t>
  </si>
  <si>
    <t>Horizon Pharma Ltd</t>
  </si>
  <si>
    <t>Lease Finance</t>
  </si>
  <si>
    <t>Status</t>
  </si>
  <si>
    <t>Guarantor: family member</t>
  </si>
  <si>
    <t>Renewed</t>
  </si>
  <si>
    <t>Blue Ocean Log.</t>
  </si>
  <si>
    <t>Follow up next quarter</t>
  </si>
  <si>
    <t>Al-Amin Cold Storage</t>
  </si>
  <si>
    <t>Prime Motors Co</t>
  </si>
  <si>
    <t>Amount</t>
  </si>
  <si>
    <t>Currency</t>
  </si>
  <si>
    <t>Falcon Foods</t>
  </si>
  <si>
    <t>Past due 30 days</t>
  </si>
  <si>
    <t xml:space="preserve">  Blue Ocean Log.</t>
  </si>
  <si>
    <t>PKR</t>
  </si>
  <si>
    <t>Client requested top-up</t>
  </si>
  <si>
    <t>Account_ID</t>
  </si>
  <si>
    <t>Account_Name</t>
  </si>
  <si>
    <t>Industry</t>
  </si>
  <si>
    <t>Billing_City</t>
  </si>
  <si>
    <t>Billing_Country</t>
  </si>
  <si>
    <t>Phone</t>
  </si>
  <si>
    <t>Annual_Revenue</t>
  </si>
  <si>
    <t>Account_Owner</t>
  </si>
  <si>
    <t>Created_Date</t>
  </si>
  <si>
    <t>Rating</t>
  </si>
  <si>
    <t>SF-01072</t>
  </si>
  <si>
    <t xml:space="preserve">Sunrise Textiles Mills </t>
  </si>
  <si>
    <t>Textiles</t>
  </si>
  <si>
    <t>Faisalabad</t>
  </si>
  <si>
    <t>Pakistan</t>
  </si>
  <si>
    <t>032-4957885</t>
  </si>
  <si>
    <t>Ayesha Khan</t>
  </si>
  <si>
    <t>2024/06/26</t>
  </si>
  <si>
    <t>Hot</t>
  </si>
  <si>
    <t>SF-01062</t>
  </si>
  <si>
    <t>Faisal Steel Industries</t>
  </si>
  <si>
    <t>Manufacturing</t>
  </si>
  <si>
    <t>Karachi</t>
  </si>
  <si>
    <t>0300 531 003</t>
  </si>
  <si>
    <t>Usman Tariq</t>
  </si>
  <si>
    <t>09.06.2023</t>
  </si>
  <si>
    <t>Warm</t>
  </si>
  <si>
    <t>SF-01055</t>
  </si>
  <si>
    <t xml:space="preserve">  Union Cotton Traders  </t>
  </si>
  <si>
    <t>Trading</t>
  </si>
  <si>
    <t>Multan</t>
  </si>
  <si>
    <t>(028) 348-7347</t>
  </si>
  <si>
    <t>November 09, 2022</t>
  </si>
  <si>
    <t>SF-01036</t>
  </si>
  <si>
    <t>Lahore Auto Parts Ltd</t>
  </si>
  <si>
    <t>Automotive</t>
  </si>
  <si>
    <t>Lahore</t>
  </si>
  <si>
    <t>923280164005</t>
  </si>
  <si>
    <t>Bilal Ahmed</t>
  </si>
  <si>
    <t>01/22/2025</t>
  </si>
  <si>
    <t>Cold</t>
  </si>
  <si>
    <t>SF-01007</t>
  </si>
  <si>
    <t>Crescent Steel Works</t>
  </si>
  <si>
    <t>028-9593103</t>
  </si>
  <si>
    <t>Sara Malik</t>
  </si>
  <si>
    <t>29-12-2023</t>
  </si>
  <si>
    <t>SF-01031</t>
  </si>
  <si>
    <t>Al-Rehman Rice Mills</t>
  </si>
  <si>
    <t>Agriculture</t>
  </si>
  <si>
    <t>Gujranwala</t>
  </si>
  <si>
    <t>923134751079</t>
  </si>
  <si>
    <t>27.01.2024</t>
  </si>
  <si>
    <t>SF-01044</t>
  </si>
  <si>
    <t>Highland Tea Traders</t>
  </si>
  <si>
    <t>Peshawar</t>
  </si>
  <si>
    <t>04.11.2024</t>
  </si>
  <si>
    <t>hot</t>
  </si>
  <si>
    <t>SF-01061</t>
  </si>
  <si>
    <t>Ravi River Mills</t>
  </si>
  <si>
    <t>(031) 016-2720</t>
  </si>
  <si>
    <t>06/01/2023</t>
  </si>
  <si>
    <t>SF-01069</t>
  </si>
  <si>
    <t>Bright Future Foods</t>
  </si>
  <si>
    <t>Food &amp; Beverage</t>
  </si>
  <si>
    <t>(048) 498-7769</t>
  </si>
  <si>
    <t>Hina Raza</t>
  </si>
  <si>
    <t>16.02.2024</t>
  </si>
  <si>
    <t>SF-01023</t>
  </si>
  <si>
    <t>Sunrise Textiles Mills</t>
  </si>
  <si>
    <t>0317 010 651</t>
  </si>
  <si>
    <t>SF-01065</t>
  </si>
  <si>
    <t>Apex Consulting Grp</t>
  </si>
  <si>
    <t>Services</t>
  </si>
  <si>
    <t>0331 241 904</t>
  </si>
  <si>
    <t>September 10, 2023</t>
  </si>
  <si>
    <t>SF-01043</t>
  </si>
  <si>
    <t>Green Fields Agriculture</t>
  </si>
  <si>
    <t>+92-304-586850</t>
  </si>
  <si>
    <t>2024/06/12</t>
  </si>
  <si>
    <t>SF-01066</t>
  </si>
  <si>
    <t>Northern Textiles Ventures</t>
  </si>
  <si>
    <t>N/A</t>
  </si>
  <si>
    <t>10-Nov-2022</t>
  </si>
  <si>
    <t>SF-01056</t>
  </si>
  <si>
    <t>Delta Chemical Industries</t>
  </si>
  <si>
    <t>04-Sep-2023</t>
  </si>
  <si>
    <t>SF-01030</t>
  </si>
  <si>
    <t>INDUS VALLEY AGRO</t>
  </si>
  <si>
    <t>923423619399</t>
  </si>
  <si>
    <t>04.05.2023</t>
  </si>
  <si>
    <t>SF-01010</t>
  </si>
  <si>
    <t>Blue Ocean Logistics Ltd</t>
  </si>
  <si>
    <t>Logistics</t>
  </si>
  <si>
    <t>923441928327</t>
  </si>
  <si>
    <t>04/15/2023</t>
  </si>
  <si>
    <t>SF-01033</t>
  </si>
  <si>
    <t>Karachi Electronics Co</t>
  </si>
  <si>
    <t>Electronics</t>
  </si>
  <si>
    <t>February 21, 2023</t>
  </si>
  <si>
    <t>SF-01051</t>
  </si>
  <si>
    <t>Millennium Plastics Ltd</t>
  </si>
  <si>
    <t>+92-331-769367</t>
  </si>
  <si>
    <t>25-03-2023</t>
  </si>
  <si>
    <t>SF-01059</t>
  </si>
  <si>
    <t>Everest Trading Co</t>
  </si>
  <si>
    <t>2025/06/28</t>
  </si>
  <si>
    <t>SF-01053</t>
  </si>
  <si>
    <t>SKYLINE REAL ESTATE DEVELOPERS</t>
  </si>
  <si>
    <t>Real Estate</t>
  </si>
  <si>
    <t>Islamabad</t>
  </si>
  <si>
    <t>923283172788</t>
  </si>
  <si>
    <t>02-07-2024</t>
  </si>
  <si>
    <t>SF-01046</t>
  </si>
  <si>
    <t>Metro Pharma Distributors</t>
  </si>
  <si>
    <t>Pharma</t>
  </si>
  <si>
    <t>May 27, 2025</t>
  </si>
  <si>
    <t>SF-01006</t>
  </si>
  <si>
    <t xml:space="preserve">  Zenith Apparel Mfg.  </t>
  </si>
  <si>
    <t>(023) 026-5423</t>
  </si>
  <si>
    <t>01/03/2025</t>
  </si>
  <si>
    <t>SF-01020</t>
  </si>
  <si>
    <t>Horizon Pharmaceuticals</t>
  </si>
  <si>
    <t>(028) 834-6578</t>
  </si>
  <si>
    <t>May 26, 2022</t>
  </si>
  <si>
    <t>SF-01012</t>
  </si>
  <si>
    <t xml:space="preserve">  Prime Motors Ltd  </t>
  </si>
  <si>
    <t>923473953767</t>
  </si>
  <si>
    <t>12-01-2024</t>
  </si>
  <si>
    <t>SF-01073</t>
  </si>
  <si>
    <t>Falcon Foods Processing.</t>
  </si>
  <si>
    <t>027-4431351</t>
  </si>
  <si>
    <t>04.01.2025</t>
  </si>
  <si>
    <t>SF-01048</t>
  </si>
  <si>
    <t>Al Fateh Engineering</t>
  </si>
  <si>
    <t>0323 872 148</t>
  </si>
  <si>
    <t>05-04-2022</t>
  </si>
  <si>
    <t>SF-01003</t>
  </si>
  <si>
    <t>AL HABIB TEXTILES PVT LTD</t>
  </si>
  <si>
    <t>0334 332 181</t>
  </si>
  <si>
    <t>09-05-2024</t>
  </si>
  <si>
    <t>SF-01021</t>
  </si>
  <si>
    <t>METRO RETAIL GROUP</t>
  </si>
  <si>
    <t>Retail</t>
  </si>
  <si>
    <t>923360518347</t>
  </si>
  <si>
    <t>07/13/2022</t>
  </si>
  <si>
    <t>SF-01015</t>
  </si>
  <si>
    <t>Falcon Foods Processing</t>
  </si>
  <si>
    <t>(040) 012-2691</t>
  </si>
  <si>
    <t>SF-01024</t>
  </si>
  <si>
    <t>Pearl Continental Exports</t>
  </si>
  <si>
    <t>0318 013 267</t>
  </si>
  <si>
    <t>08-Aug-2023</t>
  </si>
  <si>
    <t>SF-01018</t>
  </si>
  <si>
    <t>NATIONAL GRAIN TRADERS</t>
  </si>
  <si>
    <t>923485430391</t>
  </si>
  <si>
    <t>2023/06/27</t>
  </si>
  <si>
    <t>SF-01071</t>
  </si>
  <si>
    <t xml:space="preserve">Everest Trading Co </t>
  </si>
  <si>
    <t>SF-01027</t>
  </si>
  <si>
    <t>Gulf Star Trading Co</t>
  </si>
  <si>
    <t>022-2343098</t>
  </si>
  <si>
    <t>14-06-2022</t>
  </si>
  <si>
    <t>SF-01016</t>
  </si>
  <si>
    <t xml:space="preserve">  Silver Line Construction Co.  </t>
  </si>
  <si>
    <t>Construction</t>
  </si>
  <si>
    <t>923322704828</t>
  </si>
  <si>
    <t>2022/01/02</t>
  </si>
  <si>
    <t>SF-01041</t>
  </si>
  <si>
    <t>COASTAL SHIPPING SERVICES</t>
  </si>
  <si>
    <t>(028) 563-4216</t>
  </si>
  <si>
    <t>31-Jan-2023</t>
  </si>
  <si>
    <t>SF-01070</t>
  </si>
  <si>
    <t>Karachi Electronics Co.</t>
  </si>
  <si>
    <t>+92-343-545494</t>
  </si>
  <si>
    <t>SF-01039</t>
  </si>
  <si>
    <t>Punjab Dairy Farms</t>
  </si>
  <si>
    <t>Sahiwal</t>
  </si>
  <si>
    <t>30-04-2023</t>
  </si>
  <si>
    <t>Contact_ID</t>
  </si>
  <si>
    <t>First_Name</t>
  </si>
  <si>
    <t>Last_Name</t>
  </si>
  <si>
    <t>Title</t>
  </si>
  <si>
    <t>Email</t>
  </si>
  <si>
    <t>Mobile</t>
  </si>
  <si>
    <t>CT-00502</t>
  </si>
  <si>
    <t>Zain</t>
  </si>
  <si>
    <t>Butt</t>
  </si>
  <si>
    <t>Owner</t>
  </si>
  <si>
    <t>zain.butt@gmail.com</t>
  </si>
  <si>
    <t>037-1318699</t>
  </si>
  <si>
    <t>CT-00503</t>
  </si>
  <si>
    <t>Kashif</t>
  </si>
  <si>
    <t>Malik</t>
  </si>
  <si>
    <t>CFO</t>
  </si>
  <si>
    <t>kashif.malik@yahoo.com</t>
  </si>
  <si>
    <t>(028) 713-4936</t>
  </si>
  <si>
    <t>CT-00504</t>
  </si>
  <si>
    <t>Fatima</t>
  </si>
  <si>
    <t>Ahmed</t>
  </si>
  <si>
    <t>fatima.ahmed@gnail.com</t>
  </si>
  <si>
    <t>+92-347-174648</t>
  </si>
  <si>
    <t>CT-00505</t>
  </si>
  <si>
    <t>Sana</t>
  </si>
  <si>
    <t>Qureshi</t>
  </si>
  <si>
    <t>sana.qureshi@outlook.com</t>
  </si>
  <si>
    <t>(042) 967-1756</t>
  </si>
  <si>
    <t>CT-00506</t>
  </si>
  <si>
    <t>Iqra</t>
  </si>
  <si>
    <t>Managing Director</t>
  </si>
  <si>
    <t>IQRA.QURESHI@COMPANY.COM.PK</t>
  </si>
  <si>
    <t>+92-327-703482</t>
  </si>
  <si>
    <t>028-0932480</t>
  </si>
  <si>
    <t>CT-00507</t>
  </si>
  <si>
    <t>Farah</t>
  </si>
  <si>
    <t>Raza</t>
  </si>
  <si>
    <t>Procurement Head</t>
  </si>
  <si>
    <t>farah.raza@outlook.com</t>
  </si>
  <si>
    <t>CT-00508</t>
  </si>
  <si>
    <t>Waqas</t>
  </si>
  <si>
    <t>Chaudhry</t>
  </si>
  <si>
    <t>waqas.chaudhry@company.com.pk</t>
  </si>
  <si>
    <t>031-6753396</t>
  </si>
  <si>
    <t>+92-346-627028</t>
  </si>
  <si>
    <t>CT-00510</t>
  </si>
  <si>
    <t>Finance Manager</t>
  </si>
  <si>
    <t>ahmed.ahmed@company.com.pk</t>
  </si>
  <si>
    <t>CT-00511</t>
  </si>
  <si>
    <t>0330 455 623</t>
  </si>
  <si>
    <t>(028) 219-6937</t>
  </si>
  <si>
    <t>CT-00513</t>
  </si>
  <si>
    <t>ahmed.qureshi@gnail.com</t>
  </si>
  <si>
    <t>0335 946 474</t>
  </si>
  <si>
    <t>CT-00514</t>
  </si>
  <si>
    <t>Anum</t>
  </si>
  <si>
    <t>anum.qureshi@gnail.com</t>
  </si>
  <si>
    <t>923025339421</t>
  </si>
  <si>
    <t>923235214562</t>
  </si>
  <si>
    <t>CT-00516</t>
  </si>
  <si>
    <t>sana.raza@company.com.pk</t>
  </si>
  <si>
    <t>+92-345-171236</t>
  </si>
  <si>
    <t>042-4817549</t>
  </si>
  <si>
    <t>CT-00518</t>
  </si>
  <si>
    <t>Sheikh</t>
  </si>
  <si>
    <t>Accounts Manager</t>
  </si>
  <si>
    <t>anum.sheikh@gmail.com</t>
  </si>
  <si>
    <t>0304 612 004</t>
  </si>
  <si>
    <t>036-6758692</t>
  </si>
  <si>
    <t>CT-00519</t>
  </si>
  <si>
    <t>Sadia</t>
  </si>
  <si>
    <t>sadia.sheikh@company.com.pk</t>
  </si>
  <si>
    <t>+92-311-585064</t>
  </si>
  <si>
    <t>923483900532</t>
  </si>
  <si>
    <t>CT-00520</t>
  </si>
  <si>
    <t>Nida</t>
  </si>
  <si>
    <t>Iqbal</t>
  </si>
  <si>
    <t>nida.iqbal@yahoo.com</t>
  </si>
  <si>
    <t>923152284210</t>
  </si>
  <si>
    <t>023-5024026</t>
  </si>
  <si>
    <t>CT-00521</t>
  </si>
  <si>
    <t>+92-338-470076</t>
  </si>
  <si>
    <t>043-1592124</t>
  </si>
  <si>
    <t>CT-00523</t>
  </si>
  <si>
    <t>waqas.chaudhry@outlook.com</t>
  </si>
  <si>
    <t>(034) 836-7365</t>
  </si>
  <si>
    <t>CT-00525</t>
  </si>
  <si>
    <t>Hassan</t>
  </si>
  <si>
    <t>hassan.chaudhry@gmail.com</t>
  </si>
  <si>
    <t>0321 656 049</t>
  </si>
  <si>
    <t>CT-00526</t>
  </si>
  <si>
    <t>anum.raza@gmail.com</t>
  </si>
  <si>
    <t>+92-305-502296</t>
  </si>
  <si>
    <t>923498366752</t>
  </si>
  <si>
    <t>CT-00527</t>
  </si>
  <si>
    <t>(045) 476-7976</t>
  </si>
  <si>
    <t>+92-306-149784</t>
  </si>
  <si>
    <t>CT-00529</t>
  </si>
  <si>
    <t>Imran</t>
  </si>
  <si>
    <t>imran.ahmed@gnail.com</t>
  </si>
  <si>
    <t>+92-346-226838</t>
  </si>
  <si>
    <t>(043) 607-1596</t>
  </si>
  <si>
    <t>CT-00531</t>
  </si>
  <si>
    <t>ahmed.iqbal@yahoo.com</t>
  </si>
  <si>
    <t>(027) 535-2181</t>
  </si>
  <si>
    <t>CT-00532</t>
  </si>
  <si>
    <t>nida.malik@yahoo.com</t>
  </si>
  <si>
    <t>(031) 127-7997</t>
  </si>
  <si>
    <t>(032) 271-7744</t>
  </si>
  <si>
    <t>CT-00534</t>
  </si>
  <si>
    <t>Khan</t>
  </si>
  <si>
    <t>CT-00535</t>
  </si>
  <si>
    <t>fatima.sheikh@company.com.pk</t>
  </si>
  <si>
    <t>(046) 255-4665</t>
  </si>
  <si>
    <t>CT-00537</t>
  </si>
  <si>
    <t>Rabia</t>
  </si>
  <si>
    <t>Baig</t>
  </si>
  <si>
    <t>rabia.baig@yahoo.com</t>
  </si>
  <si>
    <t>0328 652 816</t>
  </si>
  <si>
    <t>923063573322</t>
  </si>
  <si>
    <t>CT-00538</t>
  </si>
  <si>
    <t>Adnan</t>
  </si>
  <si>
    <t>adnan.butt@yahoo.com</t>
  </si>
  <si>
    <t>(035) 738-3473</t>
  </si>
  <si>
    <t>CT-00540</t>
  </si>
  <si>
    <t>Naveed</t>
  </si>
  <si>
    <t>naveed.chaudhry@company.com.pk</t>
  </si>
  <si>
    <t>+92-309-240758</t>
  </si>
  <si>
    <t>032-2478261</t>
  </si>
  <si>
    <t>CT-00542</t>
  </si>
  <si>
    <t>naveed.iqbal@yahoo.com</t>
  </si>
  <si>
    <t>923467790104</t>
  </si>
  <si>
    <t>CT-00544</t>
  </si>
  <si>
    <t>Mariam</t>
  </si>
  <si>
    <t>0349 711 798</t>
  </si>
  <si>
    <t>923054609539</t>
  </si>
  <si>
    <t>CT-00546</t>
  </si>
  <si>
    <t>zain.chaudhry@outlook.com</t>
  </si>
  <si>
    <t>0320 670 654</t>
  </si>
  <si>
    <t>045-1952058</t>
  </si>
  <si>
    <t>CT-00548</t>
  </si>
  <si>
    <t>sana.ahmed@gmail.com</t>
  </si>
  <si>
    <t>(047) 430-3054</t>
  </si>
  <si>
    <t>CT-00550</t>
  </si>
  <si>
    <t>Tariq</t>
  </si>
  <si>
    <t>tariq.iqbal@yahoo.com</t>
  </si>
  <si>
    <t>+92-318-416169</t>
  </si>
  <si>
    <t>CT-00552</t>
  </si>
  <si>
    <t>kashif.khan@gmail.com</t>
  </si>
  <si>
    <t>(045) 202-9702</t>
  </si>
  <si>
    <t>0336 909 275</t>
  </si>
  <si>
    <t>CT-00554</t>
  </si>
  <si>
    <t>tariq.iqbal@gnail.com</t>
  </si>
  <si>
    <t>CT-00556</t>
  </si>
  <si>
    <t>923352583132</t>
  </si>
  <si>
    <t>923305782911</t>
  </si>
  <si>
    <t>CT-00558</t>
  </si>
  <si>
    <t>Shahid</t>
  </si>
  <si>
    <t>shahid.malik@yahoo.com</t>
  </si>
  <si>
    <t>(051) 182-4225</t>
  </si>
  <si>
    <t>CT-00560</t>
  </si>
  <si>
    <t>imran.chaudhry@gnail.com</t>
  </si>
  <si>
    <t>+92-341-829922</t>
  </si>
  <si>
    <t>CT-00562</t>
  </si>
  <si>
    <t>rabia.qureshi@yahoo.com</t>
  </si>
  <si>
    <t>(031) 710-2767</t>
  </si>
  <si>
    <t>(028) 556-2588</t>
  </si>
  <si>
    <t>CT-00564</t>
  </si>
  <si>
    <t>NIDA.AHMED@GMAIL.COM</t>
  </si>
  <si>
    <t>037-9632595</t>
  </si>
  <si>
    <t>+92-314-701687</t>
  </si>
  <si>
    <t>CT-00566</t>
  </si>
  <si>
    <t>923232456506</t>
  </si>
  <si>
    <t>025-4168784</t>
  </si>
  <si>
    <t>CT-00568</t>
  </si>
  <si>
    <t>iqra.iqbal@yahoo.com</t>
  </si>
  <si>
    <t>0310 002 578</t>
  </si>
  <si>
    <t>923325952694</t>
  </si>
  <si>
    <t>CT-00570</t>
  </si>
  <si>
    <t>farah.khan@gnail.com</t>
  </si>
  <si>
    <t>022-9409749</t>
  </si>
  <si>
    <t>(027) 289-6230</t>
  </si>
  <si>
    <t>CT-00571</t>
  </si>
  <si>
    <t>Uzma</t>
  </si>
  <si>
    <t>uzma.sheikh@company.com.pk</t>
  </si>
  <si>
    <t>051-0283857</t>
  </si>
  <si>
    <t>0318 585 497</t>
  </si>
  <si>
    <t>CT-00573</t>
  </si>
  <si>
    <t>imran.qureshi@gnail.com</t>
  </si>
  <si>
    <t>(050) 157-4733</t>
  </si>
  <si>
    <t>CT-00574</t>
  </si>
  <si>
    <t>anum.butt@yahoo.com</t>
  </si>
  <si>
    <t>0313 301 657</t>
  </si>
  <si>
    <t>923146773454</t>
  </si>
  <si>
    <t>Opportunity_ID</t>
  </si>
  <si>
    <t>Opportunity_Name</t>
  </si>
  <si>
    <t>Stage</t>
  </si>
  <si>
    <t>Close_Date</t>
  </si>
  <si>
    <t>Loan_Type</t>
  </si>
  <si>
    <t>OPP-02001</t>
  </si>
  <si>
    <t>Sunrise Textiles Mills - Equipment Financing</t>
  </si>
  <si>
    <t>Proposal Sent</t>
  </si>
  <si>
    <t>08/15/2024</t>
  </si>
  <si>
    <t>OPP-02003</t>
  </si>
  <si>
    <t>Faisal Steel Industries - Trade Finance</t>
  </si>
  <si>
    <t>PROPOSAL</t>
  </si>
  <si>
    <t>12-07-2024</t>
  </si>
  <si>
    <t>OPP-02005</t>
  </si>
  <si>
    <t>Union Cotton Traders - Trade Finance</t>
  </si>
  <si>
    <t>2023/12/26</t>
  </si>
  <si>
    <t>Equipment Financing</t>
  </si>
  <si>
    <t>OPP-02007</t>
  </si>
  <si>
    <t>Union Cotton Traders - Working Capital Loan</t>
  </si>
  <si>
    <t>closed won</t>
  </si>
  <si>
    <t>14.01.2023</t>
  </si>
  <si>
    <t>OPP-02009</t>
  </si>
  <si>
    <t>Lahore Auto Parts Ltd - Trade Finance</t>
  </si>
  <si>
    <t>Closed Won</t>
  </si>
  <si>
    <t>04/28/2024</t>
  </si>
  <si>
    <t>OPP-02011</t>
  </si>
  <si>
    <t>Lahore Auto Parts Ltd - Term Loan</t>
  </si>
  <si>
    <t>August 29, 2023</t>
  </si>
  <si>
    <t>OPP-02012</t>
  </si>
  <si>
    <t>May 01, 2025</t>
  </si>
  <si>
    <t>OPP-02013</t>
  </si>
  <si>
    <t>Crescent Steel Works - Overdraft Facility</t>
  </si>
  <si>
    <t>Qualification</t>
  </si>
  <si>
    <t>2023/05/07</t>
  </si>
  <si>
    <t>OPP-02014</t>
  </si>
  <si>
    <t>Crescent Steel Works - Term Loan</t>
  </si>
  <si>
    <t>Closed Lost</t>
  </si>
  <si>
    <t>2023/07/06</t>
  </si>
  <si>
    <t>Working Capital Loan</t>
  </si>
  <si>
    <t>OPP-02015</t>
  </si>
  <si>
    <t>Al-Rehman Rice Mills - Overdraft Facility</t>
  </si>
  <si>
    <t>14-Feb-2023</t>
  </si>
  <si>
    <t>OPP-02016</t>
  </si>
  <si>
    <t>22-May-2023</t>
  </si>
  <si>
    <t>OPP-02018</t>
  </si>
  <si>
    <t>Al-Rehman Rice Mills - Term Loan</t>
  </si>
  <si>
    <t>02/08/2025</t>
  </si>
  <si>
    <t>OPP-02019</t>
  </si>
  <si>
    <t>Highland Tea Traders - Term Loan</t>
  </si>
  <si>
    <t>16.02.2023</t>
  </si>
  <si>
    <t>Overdraft Facility</t>
  </si>
  <si>
    <t>OPP-02021</t>
  </si>
  <si>
    <t>Highland Tea Traders - Overdraft Facility</t>
  </si>
  <si>
    <t>08/20/2023</t>
  </si>
  <si>
    <t>OPP-02022</t>
  </si>
  <si>
    <t>Ravi River Mills - Term Loan</t>
  </si>
  <si>
    <t>May 16, 2024</t>
  </si>
  <si>
    <t>OPP-02023</t>
  </si>
  <si>
    <t>Bright Future Foods - Overdraft Facility</t>
  </si>
  <si>
    <t>Negotiation</t>
  </si>
  <si>
    <t>2026/03/28</t>
  </si>
  <si>
    <t>OPP-02025</t>
  </si>
  <si>
    <t>Bright Future Foods - Term Loan</t>
  </si>
  <si>
    <t>July 06, 2026</t>
  </si>
  <si>
    <t>OPP-02027</t>
  </si>
  <si>
    <t>Bright Future Foods - Working Capital Loan</t>
  </si>
  <si>
    <t>02.11.2023</t>
  </si>
  <si>
    <t>OPP-02028</t>
  </si>
  <si>
    <t>Sunrise Textiles Mills - Term Loan</t>
  </si>
  <si>
    <t>2025/05/03</t>
  </si>
  <si>
    <t>OPP-02030</t>
  </si>
  <si>
    <t>2023/07/09</t>
  </si>
  <si>
    <t>OPP-02032</t>
  </si>
  <si>
    <t>Prospecting</t>
  </si>
  <si>
    <t>08-09-2025</t>
  </si>
  <si>
    <t>OPP-02033</t>
  </si>
  <si>
    <t>Apex Consulting Grp - Term Loan</t>
  </si>
  <si>
    <t>23-03-2025</t>
  </si>
  <si>
    <t>OPP-02035</t>
  </si>
  <si>
    <t>Green Fields Agriculture - Equipment Financing</t>
  </si>
  <si>
    <t>July 21, 2023</t>
  </si>
  <si>
    <t>OPP-02038</t>
  </si>
  <si>
    <t>Northern Textiles Ventures - Term Loan</t>
  </si>
  <si>
    <t>February 01, 2026</t>
  </si>
  <si>
    <t>OPP-02040</t>
  </si>
  <si>
    <t>Northern Textiles Ventures - Equipment Financing</t>
  </si>
  <si>
    <t>2024/01/12</t>
  </si>
  <si>
    <t>OPP-02041</t>
  </si>
  <si>
    <t>Northern Textiles Ventures - Working Capital Loan</t>
  </si>
  <si>
    <t>11/06/2023</t>
  </si>
  <si>
    <t>OPP-02043</t>
  </si>
  <si>
    <t>Delta Chemical Industries - Working Capital Loan</t>
  </si>
  <si>
    <t>2023/02/04</t>
  </si>
  <si>
    <t>OPP-02045</t>
  </si>
  <si>
    <t>2024/01/29</t>
  </si>
  <si>
    <t>OPP-02047</t>
  </si>
  <si>
    <t>Delta Chemical Industries - Trade Finance</t>
  </si>
  <si>
    <t>07.04.2024</t>
  </si>
  <si>
    <t>OPP-02049</t>
  </si>
  <si>
    <t>INDUS VALLEY AGRO - Equipment Financing</t>
  </si>
  <si>
    <t>19-Jun-2023</t>
  </si>
  <si>
    <t>OPP-02050</t>
  </si>
  <si>
    <t>Blue Ocean Logistics Ltd - Term Loan</t>
  </si>
  <si>
    <t>2026/01/17</t>
  </si>
  <si>
    <t>OPP-02051</t>
  </si>
  <si>
    <t>Karachi Electronics Co - Term Loan</t>
  </si>
  <si>
    <t>06-Mar-2026</t>
  </si>
  <si>
    <t>OPP-02053</t>
  </si>
  <si>
    <t>04/20/2024</t>
  </si>
  <si>
    <t>OPP-02055</t>
  </si>
  <si>
    <t>Millennium Plastics Ltd - Working Capital Loan</t>
  </si>
  <si>
    <t>January 16, 2024</t>
  </si>
  <si>
    <t>OPP-02056</t>
  </si>
  <si>
    <t>Millennium Plastics Ltd - Overdraft Facility</t>
  </si>
  <si>
    <t>22-07-2026</t>
  </si>
  <si>
    <t>OPP-02058</t>
  </si>
  <si>
    <t>29-07-2023</t>
  </si>
  <si>
    <t>OPP-02060</t>
  </si>
  <si>
    <t>Everest Trading Co - Overdraft Facility</t>
  </si>
  <si>
    <t>02/27/2025</t>
  </si>
  <si>
    <t>OPP-02062</t>
  </si>
  <si>
    <t>Everest Trading Co - Working Capital Loan</t>
  </si>
  <si>
    <t>04.07.2024</t>
  </si>
  <si>
    <t>OPP-02063</t>
  </si>
  <si>
    <t>09.01.2025</t>
  </si>
  <si>
    <t>OPP-02065</t>
  </si>
  <si>
    <t>SKYLINE REAL ESTATE DEVELOPERS - Working Capital Loan</t>
  </si>
  <si>
    <t>05-Nov-2024</t>
  </si>
  <si>
    <t>OPP-02066</t>
  </si>
  <si>
    <t>SKYLINE REAL ESTATE DEVELOPERS - Trade Finance</t>
  </si>
  <si>
    <t>August 19, 2024</t>
  </si>
  <si>
    <t>OPP-02068</t>
  </si>
  <si>
    <t>Metro Pharma Distributors - Equipment Financing</t>
  </si>
  <si>
    <t>01/31/2026</t>
  </si>
  <si>
    <t>OPP-02070</t>
  </si>
  <si>
    <t>Metro Pharma Distributors - Trade Finance</t>
  </si>
  <si>
    <t>June 01, 2024</t>
  </si>
  <si>
    <t>OPP-02071</t>
  </si>
  <si>
    <t>Zenith Apparel Mfg. - Equipment Financing</t>
  </si>
  <si>
    <t>01/18/2026</t>
  </si>
  <si>
    <t>OPP-02072</t>
  </si>
  <si>
    <t>Zenith Apparel Mfg. - Working Capital Loan</t>
  </si>
  <si>
    <t>10-Nov-2024</t>
  </si>
  <si>
    <t>OPP-02073</t>
  </si>
  <si>
    <t>Zenith Apparel Mfg. - Trade Finance</t>
  </si>
  <si>
    <t>01.07.2025</t>
  </si>
  <si>
    <t>OPP-02075</t>
  </si>
  <si>
    <t>Horizon Pharmaceuticals - Working Capital Loan</t>
  </si>
  <si>
    <t>18.10.2023</t>
  </si>
  <si>
    <t>OPP-02077</t>
  </si>
  <si>
    <t>Horizon Pharmaceuticals - Term Loan</t>
  </si>
  <si>
    <t>10/15/2024</t>
  </si>
  <si>
    <t>OPP-02078</t>
  </si>
  <si>
    <t>Prime Motors Ltd - Trade Finance</t>
  </si>
  <si>
    <t>04-02-2026</t>
  </si>
  <si>
    <t>OPP-02080</t>
  </si>
  <si>
    <t>Falcon Foods Processing. - Term Loan</t>
  </si>
  <si>
    <t>11-06-2026</t>
  </si>
  <si>
    <t>OPP-02082</t>
  </si>
  <si>
    <t>Falcon Foods Processing. - Equipment Financing</t>
  </si>
  <si>
    <t>03/28/2026</t>
  </si>
  <si>
    <t>OPP-02084</t>
  </si>
  <si>
    <t>Falcon Foods Processing. - Trade Finance</t>
  </si>
  <si>
    <t>07-May-2026</t>
  </si>
  <si>
    <t>OPP-02086</t>
  </si>
  <si>
    <t>Al Fateh Engineering - Trade Finance</t>
  </si>
  <si>
    <t>02.10.2023</t>
  </si>
  <si>
    <t>OPP-02087</t>
  </si>
  <si>
    <t>AL HABIB TEXTILES PVT LTD - Term Loan</t>
  </si>
  <si>
    <t>16-05-2025</t>
  </si>
  <si>
    <t>OPP-02088</t>
  </si>
  <si>
    <t>AL HABIB TEXTILES PVT LTD - Overdraft Facility</t>
  </si>
  <si>
    <t>06/22/2026</t>
  </si>
  <si>
    <t>OPP-02089</t>
  </si>
  <si>
    <t>METRO RETAIL GROUP - Term Loan</t>
  </si>
  <si>
    <t>OPP-02090</t>
  </si>
  <si>
    <t>METRO RETAIL GROUP - Working Capital Loan</t>
  </si>
  <si>
    <t>11-Dec-2023</t>
  </si>
  <si>
    <t>OPP-02091</t>
  </si>
  <si>
    <t>METRO RETAIL GROUP - Overdraft Facility</t>
  </si>
  <si>
    <t>2025/06/22</t>
  </si>
  <si>
    <t>OPP-02092</t>
  </si>
  <si>
    <t>Falcon Foods Processing - Trade Finance</t>
  </si>
  <si>
    <t>29-08-2023</t>
  </si>
  <si>
    <t>OPP-02094</t>
  </si>
  <si>
    <t>Pearl Continental Exports - Term Loan</t>
  </si>
  <si>
    <t>26.12.2025</t>
  </si>
  <si>
    <t>OPP-02095</t>
  </si>
  <si>
    <t>Pearl Continental Exports - Trade Finance</t>
  </si>
  <si>
    <t>05-Oct-2023</t>
  </si>
  <si>
    <t>OPP-02096</t>
  </si>
  <si>
    <t>NATIONAL GRAIN TRADERS - Term Loan</t>
  </si>
  <si>
    <t>29-09-2025</t>
  </si>
  <si>
    <t>OPP-02098</t>
  </si>
  <si>
    <t>NATIONAL GRAIN TRADERS - Equipment Financing</t>
  </si>
  <si>
    <t>November 21, 2025</t>
  </si>
  <si>
    <t>OPP-02100</t>
  </si>
  <si>
    <t>Everest Trading Co - Trade Finance</t>
  </si>
  <si>
    <t>2023/05/10</t>
  </si>
  <si>
    <t>OPP-02102</t>
  </si>
  <si>
    <t>Everest Trading Co - Term Loan</t>
  </si>
  <si>
    <t>05-Mar-2026</t>
  </si>
  <si>
    <t>OPP-02103</t>
  </si>
  <si>
    <t>02-Jan-2023</t>
  </si>
  <si>
    <t>OPP-02104</t>
  </si>
  <si>
    <t>Gulf Star Trading Co - Trade Finance</t>
  </si>
  <si>
    <t>17-Apr-2023</t>
  </si>
  <si>
    <t>OPP-02106</t>
  </si>
  <si>
    <t>Gulf Star Trading Co - Working Capital Loan</t>
  </si>
  <si>
    <t>November 29, 2025</t>
  </si>
  <si>
    <t>OPP-02108</t>
  </si>
  <si>
    <t>Silver Line Construction Co. - Working Capital Loan</t>
  </si>
  <si>
    <t>31.07.2023</t>
  </si>
  <si>
    <t>OPP-02110</t>
  </si>
  <si>
    <t>COASTAL SHIPPING SERVICES - Term Loan</t>
  </si>
  <si>
    <t>20.06.2025</t>
  </si>
  <si>
    <t>OPP-02112</t>
  </si>
  <si>
    <t>COASTAL SHIPPING SERVICES - Overdraft Facility</t>
  </si>
  <si>
    <t>April 22, 2026</t>
  </si>
  <si>
    <t>OPP-02114</t>
  </si>
  <si>
    <t>Karachi Electronics Co. - Term Loan</t>
  </si>
  <si>
    <t>February 24, 2023</t>
  </si>
  <si>
    <t>OPP-02115</t>
  </si>
  <si>
    <t>Karachi Electronics Co. - Equipment Financing</t>
  </si>
  <si>
    <t>03/01/2025</t>
  </si>
  <si>
    <t>OPP-02116</t>
  </si>
  <si>
    <t>Karachi Electronics Co. - Overdraft Facility</t>
  </si>
  <si>
    <t>2025/01/18</t>
  </si>
  <si>
    <t>OPP-02117</t>
  </si>
  <si>
    <t>Punjab Dairy Farms - Overdraft Facility</t>
  </si>
  <si>
    <t>03.11.2025</t>
  </si>
  <si>
    <t>Customer_Ref</t>
  </si>
  <si>
    <t>Company_Name</t>
  </si>
  <si>
    <t>Tax_ID</t>
  </si>
  <si>
    <t>City</t>
  </si>
  <si>
    <t>Country</t>
  </si>
  <si>
    <t>Customer_Since</t>
  </si>
  <si>
    <t>OD-0152</t>
  </si>
  <si>
    <t>skyline real estate dev.</t>
  </si>
  <si>
    <t>NTN-2488575</t>
  </si>
  <si>
    <t>+92-325-704331</t>
  </si>
  <si>
    <t>June 16, 2024</t>
  </si>
  <si>
    <t>OD-0149</t>
  </si>
  <si>
    <t>Millennium Plastic's</t>
  </si>
  <si>
    <t>NTN-7569981</t>
  </si>
  <si>
    <t>(050) 902-9593</t>
  </si>
  <si>
    <t>info@millenniumpl.com</t>
  </si>
  <si>
    <t>03.05.2023</t>
  </si>
  <si>
    <t>OD-0115</t>
  </si>
  <si>
    <t>National Grain Trdrs.</t>
  </si>
  <si>
    <t>NTN-2743975</t>
  </si>
  <si>
    <t>info@nationalgrai.com</t>
  </si>
  <si>
    <t>02-Feb-2024</t>
  </si>
  <si>
    <t>OD-0109</t>
  </si>
  <si>
    <t>falcon foods pvt. ltd.</t>
  </si>
  <si>
    <t>NTN-1770553</t>
  </si>
  <si>
    <t>(021) 617-4451</t>
  </si>
  <si>
    <t>info@falconfoodsp.com</t>
  </si>
  <si>
    <t>September 15, 2023</t>
  </si>
  <si>
    <t>OD-0108</t>
  </si>
  <si>
    <t>Prime Motors</t>
  </si>
  <si>
    <t>NTN-3518002</t>
  </si>
  <si>
    <t>923042086353</t>
  </si>
  <si>
    <t>info@primemotors.com</t>
  </si>
  <si>
    <t>October 25, 2024</t>
  </si>
  <si>
    <t>OD-0138</t>
  </si>
  <si>
    <t xml:space="preserve">  Punjab Dairy Farm's  </t>
  </si>
  <si>
    <t>0349 304 078</t>
  </si>
  <si>
    <t>info@punjabdairyf.com</t>
  </si>
  <si>
    <t>2023/06/30</t>
  </si>
  <si>
    <t>OD-0111</t>
  </si>
  <si>
    <t>Silverline Construction</t>
  </si>
  <si>
    <t>NTN-9277218</t>
  </si>
  <si>
    <t>+92-313-832060</t>
  </si>
  <si>
    <t>info@silverlineco.com</t>
  </si>
  <si>
    <t>January 03, 2022</t>
  </si>
  <si>
    <t>OD-0158</t>
  </si>
  <si>
    <t>Everest Trdg. Co</t>
  </si>
  <si>
    <t>NTN-7866576</t>
  </si>
  <si>
    <t>0338 844 431</t>
  </si>
  <si>
    <t>08-Jan-2022</t>
  </si>
  <si>
    <t>OD-0159</t>
  </si>
  <si>
    <t xml:space="preserve">  Ravi River Mill  </t>
  </si>
  <si>
    <t>NTN-9058573</t>
  </si>
  <si>
    <t>046-3103241</t>
  </si>
  <si>
    <t>info@ravirivermil.com</t>
  </si>
  <si>
    <t>06/27/2023</t>
  </si>
  <si>
    <t>OD-0104</t>
  </si>
  <si>
    <t>Zenith Apparel Manufacturing Co</t>
  </si>
  <si>
    <t>NTN-5003671</t>
  </si>
  <si>
    <t>info@zenithappare.com</t>
  </si>
  <si>
    <t>09/02/2022</t>
  </si>
  <si>
    <t>OD-0125</t>
  </si>
  <si>
    <t>PEARL CONT. EXPORTS</t>
  </si>
  <si>
    <t>NTN-8586676</t>
  </si>
  <si>
    <t>0308 831 712</t>
  </si>
  <si>
    <t>31.03.2024</t>
  </si>
  <si>
    <t>OD-0166</t>
  </si>
  <si>
    <t>STAR LINE TRADERS</t>
  </si>
  <si>
    <t>NTN-4817030</t>
  </si>
  <si>
    <t>030-8068687</t>
  </si>
  <si>
    <t>info@starlinetrad.com</t>
  </si>
  <si>
    <t>2022/03/13</t>
  </si>
  <si>
    <t>OD-0120</t>
  </si>
  <si>
    <t xml:space="preserve">  Metro Retail Grp  </t>
  </si>
  <si>
    <t>923073291212</t>
  </si>
  <si>
    <t>info@metroretailg.com</t>
  </si>
  <si>
    <t>02-Mar-2023</t>
  </si>
  <si>
    <t>OD-0156</t>
  </si>
  <si>
    <t>Union Cotton Trdrs.</t>
  </si>
  <si>
    <t>NTN-9272543</t>
  </si>
  <si>
    <t>(035) 658-6179</t>
  </si>
  <si>
    <t>06/19/2023</t>
  </si>
  <si>
    <t>OD-0170</t>
  </si>
  <si>
    <t xml:space="preserve">Crescent Steel Wrks </t>
  </si>
  <si>
    <t>NTN-6816746</t>
  </si>
  <si>
    <t>(031) 884-2524</t>
  </si>
  <si>
    <t>info@crescentstee.com</t>
  </si>
  <si>
    <t>June 23, 2023</t>
  </si>
  <si>
    <t>OD-0163</t>
  </si>
  <si>
    <t>faisal steel ind's.</t>
  </si>
  <si>
    <t>NTN-7197531</t>
  </si>
  <si>
    <t>info@faisalsteeli.com</t>
  </si>
  <si>
    <t>07/18/2022</t>
  </si>
  <si>
    <t>OD-0107</t>
  </si>
  <si>
    <t>Blue Ocean Logistic's</t>
  </si>
  <si>
    <t>NTN-1930113</t>
  </si>
  <si>
    <t>+92-347-925241</t>
  </si>
  <si>
    <t>26-01-2022</t>
  </si>
  <si>
    <t>OD-0130</t>
  </si>
  <si>
    <t>Karachi Electronics</t>
  </si>
  <si>
    <t>NTN-8158234</t>
  </si>
  <si>
    <t>0302 532 447</t>
  </si>
  <si>
    <t>info@karachielect.com</t>
  </si>
  <si>
    <t>18-Oct-2024</t>
  </si>
  <si>
    <t>OD-0157</t>
  </si>
  <si>
    <t>DELTA CHEMICAL IND</t>
  </si>
  <si>
    <t>NTN-3699529</t>
  </si>
  <si>
    <t>923101815997</t>
  </si>
  <si>
    <t>info@deltachemica.com</t>
  </si>
  <si>
    <t>11/18/2022</t>
  </si>
  <si>
    <t>OD-0145</t>
  </si>
  <si>
    <t>Highland Tea Trdrs</t>
  </si>
  <si>
    <t>NTN-6428919</t>
  </si>
  <si>
    <t>043-0029218</t>
  </si>
  <si>
    <t>info@highlandteat.com</t>
  </si>
  <si>
    <t>21.11.2023</t>
  </si>
  <si>
    <t>OD-0148</t>
  </si>
  <si>
    <t>METRO PHARMA DIST.</t>
  </si>
  <si>
    <t>NTN-8329435</t>
  </si>
  <si>
    <t>info@metropharmad.com</t>
  </si>
  <si>
    <t>December 30, 2022</t>
  </si>
  <si>
    <t>OD-0101</t>
  </si>
  <si>
    <t>AL HABIB TEXTILES</t>
  </si>
  <si>
    <t>NTN-3561552</t>
  </si>
  <si>
    <t>info@alhabibtexti.com</t>
  </si>
  <si>
    <t>08/10/2025</t>
  </si>
  <si>
    <t>OD-0134</t>
  </si>
  <si>
    <t>LAHORE AUTOPARTS</t>
  </si>
  <si>
    <t>NTN-3302438</t>
  </si>
  <si>
    <t>(038) 638-3806</t>
  </si>
  <si>
    <t>info@lahoreautopa.com</t>
  </si>
  <si>
    <t>25.10.2024</t>
  </si>
  <si>
    <t>OD-0139</t>
  </si>
  <si>
    <t>Coastal Shipping Svcs.</t>
  </si>
  <si>
    <t>NTN-7516648</t>
  </si>
  <si>
    <t>923225223955</t>
  </si>
  <si>
    <t>info@coastalshipp.com</t>
  </si>
  <si>
    <t>27-02-2025</t>
  </si>
  <si>
    <t>OD-0116</t>
  </si>
  <si>
    <t>HORIZON PHARMA</t>
  </si>
  <si>
    <t>NTN-7616116</t>
  </si>
  <si>
    <t>info@horizonpharm.com</t>
  </si>
  <si>
    <t>31.10.2023</t>
  </si>
  <si>
    <t>OD-0123</t>
  </si>
  <si>
    <t>Sunrise Textile Mill</t>
  </si>
  <si>
    <t>NTN-2517010</t>
  </si>
  <si>
    <t>923252490352</t>
  </si>
  <si>
    <t>05.09.2023</t>
  </si>
  <si>
    <t>OD-0168</t>
  </si>
  <si>
    <t>WAZIR ALI AND SONS</t>
  </si>
  <si>
    <t>NTN-3900427</t>
  </si>
  <si>
    <t>info@waziraliands.com</t>
  </si>
  <si>
    <t>October 17, 2023</t>
  </si>
  <si>
    <t>OD-0169</t>
  </si>
  <si>
    <t xml:space="preserve">Ravi River Mill </t>
  </si>
  <si>
    <t>OD-0143</t>
  </si>
  <si>
    <t>Greenfields Agri.</t>
  </si>
  <si>
    <t>NTN-1636925</t>
  </si>
  <si>
    <t>0301 039 308</t>
  </si>
  <si>
    <t>info@greenfieldsa.com</t>
  </si>
  <si>
    <t>November 29, 2023</t>
  </si>
  <si>
    <t>OD-0126</t>
  </si>
  <si>
    <t>AlRehman Rice Mills</t>
  </si>
  <si>
    <t>NTN-2258076</t>
  </si>
  <si>
    <t>0300 137 215</t>
  </si>
  <si>
    <t>info@alrehmanrice.com</t>
  </si>
  <si>
    <t>June 06, 2024</t>
  </si>
  <si>
    <t>OD-0106</t>
  </si>
  <si>
    <t>Crescent Steel Wrks</t>
  </si>
  <si>
    <t>Order_Ref</t>
  </si>
  <si>
    <t>Customer_Name</t>
  </si>
  <si>
    <t>Order_Date</t>
  </si>
  <si>
    <t>Loan_Product</t>
  </si>
  <si>
    <t>Disbursed_Amount</t>
  </si>
  <si>
    <t>SO03002</t>
  </si>
  <si>
    <t>2026/03/17</t>
  </si>
  <si>
    <t>Trade Finance LC</t>
  </si>
  <si>
    <t>Approved</t>
  </si>
  <si>
    <t>SO03004</t>
  </si>
  <si>
    <t>21-Mar-2023</t>
  </si>
  <si>
    <t>Term Loan - 24mo</t>
  </si>
  <si>
    <t>Disbursed</t>
  </si>
  <si>
    <t>SO03006</t>
  </si>
  <si>
    <t>12.09.2024</t>
  </si>
  <si>
    <t>Pending Approval</t>
  </si>
  <si>
    <t>SO03008</t>
  </si>
  <si>
    <t>19.10.2024</t>
  </si>
  <si>
    <t>Overdraft Renewal</t>
  </si>
  <si>
    <t>disbursed</t>
  </si>
  <si>
    <t>SO03010</t>
  </si>
  <si>
    <t>23.11.2025</t>
  </si>
  <si>
    <t>Working Capital Facility</t>
  </si>
  <si>
    <t>SO03011</t>
  </si>
  <si>
    <t>22-12-2023</t>
  </si>
  <si>
    <t>Term Loan - 12mo</t>
  </si>
  <si>
    <t>SO03013</t>
  </si>
  <si>
    <t>24-Jan-2025</t>
  </si>
  <si>
    <t>Equipment Lease Financing</t>
  </si>
  <si>
    <t>Cancelled</t>
  </si>
  <si>
    <t>SO03015</t>
  </si>
  <si>
    <t>30-Dec-2023</t>
  </si>
  <si>
    <t>SO03016</t>
  </si>
  <si>
    <t>08/06/2024</t>
  </si>
  <si>
    <t>SO03017</t>
  </si>
  <si>
    <t>28.02.2024</t>
  </si>
  <si>
    <t>SO03018</t>
  </si>
  <si>
    <t>18-08-2026</t>
  </si>
  <si>
    <t>SO03020</t>
  </si>
  <si>
    <t>17-May-2025</t>
  </si>
  <si>
    <t>DISBURSED</t>
  </si>
  <si>
    <t>SO03022</t>
  </si>
  <si>
    <t>04/12/2026</t>
  </si>
  <si>
    <t>SO03024</t>
  </si>
  <si>
    <t>September 03, 2024</t>
  </si>
  <si>
    <t>SO03026</t>
  </si>
  <si>
    <t>27.08.2026</t>
  </si>
  <si>
    <t>SO03028</t>
  </si>
  <si>
    <t>October 14, 2023</t>
  </si>
  <si>
    <t>SO03029</t>
  </si>
  <si>
    <t>April 09, 2026</t>
  </si>
  <si>
    <t>SO03031</t>
  </si>
  <si>
    <t>04.11.2025</t>
  </si>
  <si>
    <t>SO03032</t>
  </si>
  <si>
    <t>November 18, 2024</t>
  </si>
  <si>
    <t>SO03034</t>
  </si>
  <si>
    <t>2024/06/17</t>
  </si>
  <si>
    <t>SO03035</t>
  </si>
  <si>
    <t>25-08-2025</t>
  </si>
  <si>
    <t>SO03036</t>
  </si>
  <si>
    <t>09-10-2023</t>
  </si>
  <si>
    <t>SO03037</t>
  </si>
  <si>
    <t>15-Jun-2023</t>
  </si>
  <si>
    <t>SO03038</t>
  </si>
  <si>
    <t>26-03-2026</t>
  </si>
  <si>
    <t>SO03040</t>
  </si>
  <si>
    <t>01/10/2023</t>
  </si>
  <si>
    <t>SO03041</t>
  </si>
  <si>
    <t>January 09, 2023</t>
  </si>
  <si>
    <t>SO03043</t>
  </si>
  <si>
    <t>2025/10/27</t>
  </si>
  <si>
    <t>SO03045</t>
  </si>
  <si>
    <t>June 07, 2025</t>
  </si>
  <si>
    <t>SO03047</t>
  </si>
  <si>
    <t>09-02-2023</t>
  </si>
  <si>
    <t>SO03049</t>
  </si>
  <si>
    <t>08/25/2026</t>
  </si>
  <si>
    <t>SO03050</t>
  </si>
  <si>
    <t>08/31/2026</t>
  </si>
  <si>
    <t>SO03051</t>
  </si>
  <si>
    <t>07/14/2026</t>
  </si>
  <si>
    <t>SO03052</t>
  </si>
  <si>
    <t>05/07/2025</t>
  </si>
  <si>
    <t>SO03054</t>
  </si>
  <si>
    <t>07-12-2025</t>
  </si>
  <si>
    <t>SO03056</t>
  </si>
  <si>
    <t>08-11-2024</t>
  </si>
  <si>
    <t>SO03057</t>
  </si>
  <si>
    <t>2023/07/04</t>
  </si>
  <si>
    <t>SO03059</t>
  </si>
  <si>
    <t>04/13/2023</t>
  </si>
  <si>
    <t>SO03060</t>
  </si>
  <si>
    <t>07/14/2023</t>
  </si>
  <si>
    <t>SO03061</t>
  </si>
  <si>
    <t>02.02.2025</t>
  </si>
  <si>
    <t>SO03063</t>
  </si>
  <si>
    <t>May 13, 2025</t>
  </si>
  <si>
    <t>SO03065</t>
  </si>
  <si>
    <t>March 11, 2026</t>
  </si>
  <si>
    <t>SO03066</t>
  </si>
  <si>
    <t>16-Sep-2025</t>
  </si>
  <si>
    <t>SO03067</t>
  </si>
  <si>
    <t>2024/11/23</t>
  </si>
  <si>
    <t>SO03068</t>
  </si>
  <si>
    <t>2026/02/17</t>
  </si>
  <si>
    <t>SO03069</t>
  </si>
  <si>
    <t>03-Jun-2023</t>
  </si>
  <si>
    <t>SO03071</t>
  </si>
  <si>
    <t>05-04-2025</t>
  </si>
  <si>
    <t>SO03072</t>
  </si>
  <si>
    <t>October 15, 2025</t>
  </si>
  <si>
    <t>SO03073</t>
  </si>
  <si>
    <t>2026/05/22</t>
  </si>
  <si>
    <t>SO03075</t>
  </si>
  <si>
    <t>22-04-2023</t>
  </si>
  <si>
    <t>SO03077</t>
  </si>
  <si>
    <t>07/15/2025</t>
  </si>
  <si>
    <t>SO03079</t>
  </si>
  <si>
    <t>08/06/2023</t>
  </si>
  <si>
    <t>SO03081</t>
  </si>
  <si>
    <t>05-06-2026</t>
  </si>
  <si>
    <t>SO03083</t>
  </si>
  <si>
    <t>09-Aug-2023</t>
  </si>
  <si>
    <t>SO03084</t>
  </si>
  <si>
    <t>10/18/2025</t>
  </si>
  <si>
    <t>SO03085</t>
  </si>
  <si>
    <t>09/20/2023</t>
  </si>
  <si>
    <t>SO03087</t>
  </si>
  <si>
    <t>25.03.2025</t>
  </si>
  <si>
    <t>SO03089</t>
  </si>
  <si>
    <t>26.01.2026</t>
  </si>
  <si>
    <t>SO03090</t>
  </si>
  <si>
    <t>24-08-2026</t>
  </si>
  <si>
    <t>SO03092</t>
  </si>
  <si>
    <t>29.12.2025</t>
  </si>
  <si>
    <t>SO03093</t>
  </si>
  <si>
    <t>14.02.2024</t>
  </si>
  <si>
    <t>SO03094</t>
  </si>
  <si>
    <t>04-Jan-2025</t>
  </si>
  <si>
    <t>SO03096</t>
  </si>
  <si>
    <t>07-Apr-2023</t>
  </si>
  <si>
    <t>SO03098</t>
  </si>
  <si>
    <t>2024/02/20</t>
  </si>
  <si>
    <t>SO03099</t>
  </si>
  <si>
    <t>01.02.2024</t>
  </si>
  <si>
    <t>SO03100</t>
  </si>
  <si>
    <t>02/11/2025</t>
  </si>
  <si>
    <t>SO03102</t>
  </si>
  <si>
    <t>August 13, 2025</t>
  </si>
  <si>
    <t>SO03104</t>
  </si>
  <si>
    <t>2025/10/01</t>
  </si>
  <si>
    <t>SO03105</t>
  </si>
  <si>
    <t>31-10-2025</t>
  </si>
  <si>
    <t>SO03107</t>
  </si>
  <si>
    <t>08.01.2025</t>
  </si>
  <si>
    <t>SO03109</t>
  </si>
  <si>
    <t>01-07-2025</t>
  </si>
  <si>
    <t>SO03111</t>
  </si>
  <si>
    <t>2024/06/09</t>
  </si>
  <si>
    <t>SO03113</t>
  </si>
  <si>
    <t>09/23/2025</t>
  </si>
  <si>
    <t>SO03114</t>
  </si>
  <si>
    <t>07/07/2026</t>
  </si>
  <si>
    <t>SO03116</t>
  </si>
  <si>
    <t>08/17/2026</t>
  </si>
  <si>
    <t>SO03117</t>
  </si>
  <si>
    <t>31.12.2023</t>
  </si>
  <si>
    <t>SO03119</t>
  </si>
  <si>
    <t>05.06.2025</t>
  </si>
  <si>
    <t>SO03120</t>
  </si>
  <si>
    <t>04/14/2026</t>
  </si>
  <si>
    <t>SO03121</t>
  </si>
  <si>
    <t>30-Jul-2024</t>
  </si>
  <si>
    <t>SO03123</t>
  </si>
  <si>
    <t>22.01.2026</t>
  </si>
  <si>
    <t>SO03125</t>
  </si>
  <si>
    <t>2023/01/23</t>
  </si>
  <si>
    <t>SO03126</t>
  </si>
  <si>
    <t>16-09-2024</t>
  </si>
  <si>
    <t>SO03127</t>
  </si>
  <si>
    <t>SO03129</t>
  </si>
  <si>
    <t>2026/08/13</t>
  </si>
  <si>
    <t>SO03131</t>
  </si>
  <si>
    <t>08.11.2024</t>
  </si>
  <si>
    <t>SO03133</t>
  </si>
  <si>
    <t>June 16, 2026</t>
  </si>
  <si>
    <t>SO03134</t>
  </si>
  <si>
    <t>03-10-2024</t>
  </si>
  <si>
    <t>SO03136</t>
  </si>
  <si>
    <t>05-Aug-2025</t>
  </si>
  <si>
    <t>SO03137</t>
  </si>
  <si>
    <t>08-01-2026</t>
  </si>
  <si>
    <t>SO03138</t>
  </si>
  <si>
    <t>2026/04/06</t>
  </si>
  <si>
    <t>Invoice_No</t>
  </si>
  <si>
    <t>Invoice_Date</t>
  </si>
  <si>
    <t>Due_Date</t>
  </si>
  <si>
    <t>Amount_Due</t>
  </si>
  <si>
    <t>Amount_Paid</t>
  </si>
  <si>
    <t>Payment_Status</t>
  </si>
  <si>
    <t>INV-08002</t>
  </si>
  <si>
    <t>18-08-2024</t>
  </si>
  <si>
    <t>paid</t>
  </si>
  <si>
    <t>INV-08003</t>
  </si>
  <si>
    <t>02-07-2025</t>
  </si>
  <si>
    <t>2024/01/02</t>
  </si>
  <si>
    <t>Outstanding</t>
  </si>
  <si>
    <t>INV-08004</t>
  </si>
  <si>
    <t>26.11.2025</t>
  </si>
  <si>
    <t>05-Mar-2025</t>
  </si>
  <si>
    <t>INV-08006</t>
  </si>
  <si>
    <t>13-03-2026</t>
  </si>
  <si>
    <t>February 10, 2025</t>
  </si>
  <si>
    <t>INV-08008</t>
  </si>
  <si>
    <t>2025/09/14</t>
  </si>
  <si>
    <t>2023/01/14</t>
  </si>
  <si>
    <t>OUTSTANDING</t>
  </si>
  <si>
    <t>INV-08010</t>
  </si>
  <si>
    <t>18-01-2024</t>
  </si>
  <si>
    <t>2025/01/11</t>
  </si>
  <si>
    <t>INV-08011</t>
  </si>
  <si>
    <t>05/14/2024</t>
  </si>
  <si>
    <t>2023/09/19</t>
  </si>
  <si>
    <t>INV-08012</t>
  </si>
  <si>
    <t>19-Mar-2024</t>
  </si>
  <si>
    <t>27-May-2026</t>
  </si>
  <si>
    <t>INV-08014</t>
  </si>
  <si>
    <t>2025/07/17</t>
  </si>
  <si>
    <t>04/24/2026</t>
  </si>
  <si>
    <t>Overdue</t>
  </si>
  <si>
    <t>INV-08015</t>
  </si>
  <si>
    <t>2025/09/01</t>
  </si>
  <si>
    <t>05/13/2026</t>
  </si>
  <si>
    <t>INV-08017</t>
  </si>
  <si>
    <t>28-05-2025</t>
  </si>
  <si>
    <t>14-Sep-2025</t>
  </si>
  <si>
    <t>Partially Paid</t>
  </si>
  <si>
    <t>INV-08018</t>
  </si>
  <si>
    <t>18-Jan-2026</t>
  </si>
  <si>
    <t>11-06-2024</t>
  </si>
  <si>
    <t>INV-08020</t>
  </si>
  <si>
    <t>07-08-2023</t>
  </si>
  <si>
    <t>May 22, 2025</t>
  </si>
  <si>
    <t>INV-08022</t>
  </si>
  <si>
    <t>2026/02/19</t>
  </si>
  <si>
    <t>17.09.2025</t>
  </si>
  <si>
    <t>INV-08024</t>
  </si>
  <si>
    <t>2024/03/15</t>
  </si>
  <si>
    <t>31.03.2025</t>
  </si>
  <si>
    <t>INV-08025</t>
  </si>
  <si>
    <t>30.03.2024</t>
  </si>
  <si>
    <t>2023/06/13</t>
  </si>
  <si>
    <t>INV-08027</t>
  </si>
  <si>
    <t>27.11.2025</t>
  </si>
  <si>
    <t>02/03/2024</t>
  </si>
  <si>
    <t>INV-08029</t>
  </si>
  <si>
    <t>2025/04/10</t>
  </si>
  <si>
    <t>2024/02/15</t>
  </si>
  <si>
    <t>INV-08031</t>
  </si>
  <si>
    <t>13.12.2024</t>
  </si>
  <si>
    <t>20-07-2024</t>
  </si>
  <si>
    <t>Paid</t>
  </si>
  <si>
    <t>INV-08033</t>
  </si>
  <si>
    <t>2024/06/11</t>
  </si>
  <si>
    <t>23.03.2026</t>
  </si>
  <si>
    <t>INV-08035</t>
  </si>
  <si>
    <t>27.08.2023</t>
  </si>
  <si>
    <t>19-May-2023</t>
  </si>
  <si>
    <t>INV-08036</t>
  </si>
  <si>
    <t>08/11/2024</t>
  </si>
  <si>
    <t>March 28, 2025</t>
  </si>
  <si>
    <t>INV-08037</t>
  </si>
  <si>
    <t>April 25, 2024</t>
  </si>
  <si>
    <t>10.05.2024</t>
  </si>
  <si>
    <t>INV-08038</t>
  </si>
  <si>
    <t>14.09.2025</t>
  </si>
  <si>
    <t>25.06.2026</t>
  </si>
  <si>
    <t>INV-08040</t>
  </si>
  <si>
    <t>12-Dec-2025</t>
  </si>
  <si>
    <t>INV-08042</t>
  </si>
  <si>
    <t>January 25, 2023</t>
  </si>
  <si>
    <t>07-Mar-2024</t>
  </si>
  <si>
    <t>INV-08044</t>
  </si>
  <si>
    <t>18-05-2025</t>
  </si>
  <si>
    <t>May 08, 2025</t>
  </si>
  <si>
    <t>INV-08045</t>
  </si>
  <si>
    <t>July 24, 2023</t>
  </si>
  <si>
    <t>06-07-2024</t>
  </si>
  <si>
    <t>INV-08047</t>
  </si>
  <si>
    <t>2024/05/28</t>
  </si>
  <si>
    <t>03/08/2026</t>
  </si>
  <si>
    <t>INV-08049</t>
  </si>
  <si>
    <t>2025/01/07</t>
  </si>
  <si>
    <t>15.02.2026</t>
  </si>
  <si>
    <t>INV-08051</t>
  </si>
  <si>
    <t>September 25, 2025</t>
  </si>
  <si>
    <t>07/04/2025</t>
  </si>
  <si>
    <t>INV-08053</t>
  </si>
  <si>
    <t>28.11.2023</t>
  </si>
  <si>
    <t>12.04.2024</t>
  </si>
  <si>
    <t>INV-08055</t>
  </si>
  <si>
    <t>17-02-2023</t>
  </si>
  <si>
    <t>INV-08056</t>
  </si>
  <si>
    <t>12/09/2025</t>
  </si>
  <si>
    <t>01.08.2023</t>
  </si>
  <si>
    <t>INV-08057</t>
  </si>
  <si>
    <t>June 26, 2025</t>
  </si>
  <si>
    <t>16-09-2023</t>
  </si>
  <si>
    <t>INV-08059</t>
  </si>
  <si>
    <t>2023/12/29</t>
  </si>
  <si>
    <t>08-May-2026</t>
  </si>
  <si>
    <t>INV-08061</t>
  </si>
  <si>
    <t>16-06-2024</t>
  </si>
  <si>
    <t>09/13/2024</t>
  </si>
  <si>
    <t>INV-08063</t>
  </si>
  <si>
    <t>04-Oct-2025</t>
  </si>
  <si>
    <t>09/05/2024</t>
  </si>
  <si>
    <t>INV-08065</t>
  </si>
  <si>
    <t>15-Aug-2026</t>
  </si>
  <si>
    <t>13-02-2025</t>
  </si>
  <si>
    <t>INV-08066</t>
  </si>
  <si>
    <t>07.10.2023</t>
  </si>
  <si>
    <t>August 15, 2023</t>
  </si>
  <si>
    <t>INV-08067</t>
  </si>
  <si>
    <t>31.07.2024</t>
  </si>
  <si>
    <t>September 14, 2023</t>
  </si>
  <si>
    <t>INV-08069</t>
  </si>
  <si>
    <t>11/07/2024</t>
  </si>
  <si>
    <t>10/27/2023</t>
  </si>
  <si>
    <t>INV-08070</t>
  </si>
  <si>
    <t>26-06-2025</t>
  </si>
  <si>
    <t>10-03-2023</t>
  </si>
  <si>
    <t>2,188,447</t>
  </si>
  <si>
    <t>INV-08072</t>
  </si>
  <si>
    <t>November 21, 2023</t>
  </si>
  <si>
    <t>March 28, 2023</t>
  </si>
  <si>
    <t>2718163</t>
  </si>
  <si>
    <t>INV-08073</t>
  </si>
  <si>
    <t>31-01-2023</t>
  </si>
  <si>
    <t>2024/07/19</t>
  </si>
  <si>
    <t>INV-08075</t>
  </si>
  <si>
    <t>2024/10/10</t>
  </si>
  <si>
    <t>13.08.2026</t>
  </si>
  <si>
    <t>INV-08077</t>
  </si>
  <si>
    <t>2024/01/24</t>
  </si>
  <si>
    <t>2024/01/18</t>
  </si>
  <si>
    <t>INV-08078</t>
  </si>
  <si>
    <t>14-Nov-2023</t>
  </si>
  <si>
    <t>28.08.2024</t>
  </si>
  <si>
    <t>INV-08079</t>
  </si>
  <si>
    <t>08-Jan-2026</t>
  </si>
  <si>
    <t>INV-08080</t>
  </si>
  <si>
    <t>06-03-2023</t>
  </si>
  <si>
    <t>INV-08081</t>
  </si>
  <si>
    <t>May 25, 2026</t>
  </si>
  <si>
    <t>05/26/2023</t>
  </si>
  <si>
    <t>INV-08083</t>
  </si>
  <si>
    <t>17.06.2026</t>
  </si>
  <si>
    <t>12/19/2025</t>
  </si>
  <si>
    <t>INV-08084</t>
  </si>
  <si>
    <t>February 17, 2026</t>
  </si>
  <si>
    <t>17-Feb-2026</t>
  </si>
  <si>
    <t>INV-08085</t>
  </si>
  <si>
    <t>30.10.2025</t>
  </si>
  <si>
    <t>2023/11/20</t>
  </si>
  <si>
    <t>INV-08087</t>
  </si>
  <si>
    <t>31-05-2026</t>
  </si>
  <si>
    <t>2026/02/27</t>
  </si>
  <si>
    <t>INV-08088</t>
  </si>
  <si>
    <t>2023/02/03</t>
  </si>
  <si>
    <t>04.10.2023</t>
  </si>
  <si>
    <t>INV-08089</t>
  </si>
  <si>
    <t>29-12-2024</t>
  </si>
  <si>
    <t>11.10.2023</t>
  </si>
  <si>
    <t>INV-08090</t>
  </si>
  <si>
    <t>11-03-2026</t>
  </si>
  <si>
    <t>June 08, 2023</t>
  </si>
  <si>
    <t>INV-08092</t>
  </si>
  <si>
    <t>02/20/2025</t>
  </si>
  <si>
    <t>25.04.2023</t>
  </si>
  <si>
    <t>INV-08094</t>
  </si>
  <si>
    <t>2024/10/15</t>
  </si>
  <si>
    <t>INV-08095</t>
  </si>
  <si>
    <t>18-03-2025</t>
  </si>
  <si>
    <t>28.09.2023</t>
  </si>
  <si>
    <t>INV-08096</t>
  </si>
  <si>
    <t>10-Feb-2024</t>
  </si>
  <si>
    <t>March 20, 2025</t>
  </si>
  <si>
    <t>INV-08097</t>
  </si>
  <si>
    <t>17.05.2025</t>
  </si>
  <si>
    <t>14-12-2024</t>
  </si>
  <si>
    <t>INV-08099</t>
  </si>
  <si>
    <t>26-Oct-2023</t>
  </si>
  <si>
    <t>02-04-2023</t>
  </si>
  <si>
    <t>INV-08101</t>
  </si>
  <si>
    <t>16.08.2023</t>
  </si>
  <si>
    <t>10-Jul-2025</t>
  </si>
  <si>
    <t xml:space="preserve">Company </t>
  </si>
  <si>
    <t>Column1</t>
  </si>
  <si>
    <t xml:space="preserve">Currency </t>
  </si>
  <si>
    <t xml:space="preserve">Date </t>
  </si>
  <si>
    <t xml:space="preserve">Status </t>
  </si>
  <si>
    <t xml:space="preserve">Notes </t>
  </si>
  <si>
    <t>Source_Block</t>
  </si>
  <si>
    <t>2018-2019</t>
  </si>
  <si>
    <t>Zenith Apparel</t>
  </si>
  <si>
    <t>Not Recorded</t>
  </si>
  <si>
    <t xml:space="preserve">Loan_Type </t>
  </si>
  <si>
    <t>Date</t>
  </si>
  <si>
    <t>2020-2021</t>
  </si>
  <si>
    <t>2022-2023</t>
  </si>
  <si>
    <t>Phon</t>
  </si>
  <si>
    <t>Account_ID2</t>
  </si>
  <si>
    <t>Account_Nam</t>
  </si>
  <si>
    <t>Opportunity_Nam</t>
  </si>
  <si>
    <t>staus</t>
  </si>
  <si>
    <t>Column Labels</t>
  </si>
  <si>
    <t>Grand Total</t>
  </si>
  <si>
    <t>Row Labels</t>
  </si>
  <si>
    <t>Sum of Amount (PKR)</t>
  </si>
  <si>
    <t>2022</t>
  </si>
  <si>
    <t>2023</t>
  </si>
  <si>
    <t>Al Habib Textiles Pvt Ltd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</si>
</sst>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.0_);_(* \(#,##0.0\);_(* &quot;-&quot;??_);_(@_)"/>
    <numFmt numFmtId="165" formatCode="_(* #,##0_);_(* \(#,##0\);_(* &quot;-&quot;??_);_(@_)"/>
    <numFmt numFmtId="166" formatCode="[$-409]d\-mmm\-yyyy;@"/>
    <numFmt numFmtId="167" formatCode="#,##0.0"/>
  </numFmts>
  <fonts count="7" x14ac:knownFonts="1">
    <font>
      <sz val="11"/>
      <color theme="1"/>
      <name val="Calibri"/>
      <family val="2"/>
      <scheme val="minor"/>
    </font>
    <font>
      <sz val="11"/>
      <name val="Arial"/>
      <family val="2"/>
    </font>
    <font>
      <b/>
      <sz val="10"/>
      <color rgb="FFFFFFFF"/>
      <name val="Arial"/>
      <family val="2"/>
    </font>
    <font>
      <sz val="10"/>
      <name val="Arial"/>
      <family val="2"/>
    </font>
    <font>
      <b/>
      <i/>
      <sz val="10"/>
      <name val="Arial"/>
      <family val="2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</cellStyleXfs>
  <cellXfs count="21">
    <xf numFmtId="0" fontId="0" fillId="0" borderId="0" xfId="0"/>
    <xf numFmtId="0" fontId="1" fillId="0" borderId="0" xfId="0" applyFont="1"/>
    <xf numFmtId="0" fontId="4" fillId="0" borderId="0" xfId="0" applyFont="1"/>
    <xf numFmtId="0" fontId="2" fillId="2" borderId="0" xfId="0" applyFont="1" applyFill="1"/>
    <xf numFmtId="0" fontId="3" fillId="0" borderId="0" xfId="0" applyFont="1"/>
    <xf numFmtId="14" fontId="3" fillId="0" borderId="0" xfId="0" applyNumberFormat="1" applyFont="1"/>
    <xf numFmtId="3" fontId="3" fillId="0" borderId="0" xfId="0" applyNumberFormat="1" applyFont="1"/>
    <xf numFmtId="44" fontId="2" fillId="2" borderId="0" xfId="2" applyFont="1" applyFill="1"/>
    <xf numFmtId="44" fontId="0" fillId="0" borderId="0" xfId="2" applyFont="1"/>
    <xf numFmtId="164" fontId="3" fillId="0" borderId="0" xfId="1" applyNumberFormat="1" applyFont="1"/>
    <xf numFmtId="165" fontId="3" fillId="0" borderId="0" xfId="1" applyNumberFormat="1" applyFont="1"/>
    <xf numFmtId="166" fontId="3" fillId="0" borderId="0" xfId="0" applyNumberFormat="1" applyFont="1"/>
    <xf numFmtId="167" fontId="3" fillId="0" borderId="0" xfId="0" applyNumberFormat="1" applyFont="1"/>
    <xf numFmtId="167" fontId="3" fillId="0" borderId="0" xfId="1" applyNumberFormat="1" applyFont="1"/>
    <xf numFmtId="166" fontId="2" fillId="2" borderId="0" xfId="0" applyNumberFormat="1" applyFont="1" applyFill="1"/>
    <xf numFmtId="166" fontId="0" fillId="0" borderId="0" xfId="0" applyNumberFormat="1"/>
    <xf numFmtId="165" fontId="2" fillId="2" borderId="0" xfId="1" applyNumberFormat="1" applyFont="1" applyFill="1"/>
    <xf numFmtId="165" fontId="0" fillId="0" borderId="0" xfId="1" applyNumberFormat="1" applyFont="1"/>
    <xf numFmtId="0" fontId="0" fillId="0" borderId="0" xfId="0" pivotButton="1"/>
    <xf numFmtId="0" fontId="0" fillId="0" borderId="0" xfId="0" applyAlignment="1">
      <alignment horizontal="left"/>
    </xf>
    <xf numFmtId="167" fontId="0" fillId="0" borderId="0" xfId="0" applyNumberFormat="1"/>
  </cellXfs>
  <cellStyles count="3">
    <cellStyle name="Comma" xfId="1" builtinId="3"/>
    <cellStyle name="Currency" xfId="2" builtinId="4"/>
    <cellStyle name="Normal" xfId="0" builtinId="0"/>
  </cellStyles>
  <dxfs count="4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[$-409]d\-mmm\-yyyy;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scheme val="none"/>
      </font>
      <fill>
        <patternFill patternType="solid">
          <fgColor rgb="FF1F4E78"/>
          <bgColor rgb="FF1F4E78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[$-409]d\-mmm\-yyyy;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#,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scheme val="none"/>
      </font>
      <fill>
        <patternFill patternType="solid">
          <fgColor rgb="FF1F4E78"/>
          <bgColor rgb="FF1F4E78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[$-409]d\-mmm\-yyyy;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#,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scheme val="none"/>
      </font>
      <fill>
        <patternFill patternType="solid">
          <fgColor rgb="FF1F4E78"/>
          <bgColor rgb="FF1F4E78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[$-409]d\-mmm\-yyyy;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_(* #,##0.0_);_(* \(#,##0.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scheme val="none"/>
      </font>
      <fill>
        <patternFill patternType="solid">
          <fgColor rgb="FF1F4E78"/>
          <bgColor rgb="FF1F4E78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dul Moiz" refreshedDate="46278.39943287037" createdVersion="8" refreshedVersion="8" minRefreshableVersion="3" recordCount="9" xr:uid="{BC0828F8-D272-493A-9766-AA27186127C3}">
  <cacheSource type="worksheet">
    <worksheetSource name="LoanBook2022_2023"/>
  </cacheSource>
  <cacheFields count="11">
    <cacheField name="Company " numFmtId="0">
      <sharedItems count="9">
        <s v="Metro Retail"/>
        <s v="Natl. Grain Traders"/>
        <s v="Falcon Foods"/>
        <s v="Pearl Exports"/>
        <s v="  Blue Ocean Log."/>
        <s v="Silverline Const."/>
        <s v="Horizon Pharma Ltd"/>
        <s v="Al Habib Txt."/>
        <s v="Prime Motors Co"/>
      </sharedItems>
    </cacheField>
    <cacheField name="Loan_Type " numFmtId="0">
      <sharedItems/>
    </cacheField>
    <cacheField name="Amount (PKR)" numFmtId="167">
      <sharedItems containsSemiMixedTypes="0" containsString="0" containsNumber="1" containsInteger="1" minValue="1892247" maxValue="15348980"/>
    </cacheField>
    <cacheField name="Currency " numFmtId="0">
      <sharedItems/>
    </cacheField>
    <cacheField name="Date" numFmtId="166">
      <sharedItems containsSemiMixedTypes="0" containsNonDate="0" containsDate="1" containsString="0" minDate="2022-05-07T00:00:00" maxDate="2023-06-09T00:00:00" count="9">
        <d v="2022-11-17T00:00:00"/>
        <d v="2022-09-09T00:00:00"/>
        <d v="2022-07-14T00:00:00"/>
        <d v="2022-10-29T00:00:00"/>
        <d v="2022-07-04T00:00:00"/>
        <d v="2023-04-10T00:00:00"/>
        <d v="2022-05-07T00:00:00"/>
        <d v="2023-06-08T00:00:00"/>
        <d v="2022-12-10T00:00:00"/>
      </sharedItems>
      <fieldGroup par="10"/>
    </cacheField>
    <cacheField name="Status " numFmtId="0">
      <sharedItems/>
    </cacheField>
    <cacheField name="Notes " numFmtId="0">
      <sharedItems containsNonDate="0" containsString="0" containsBlank="1"/>
    </cacheField>
    <cacheField name="Source_Block" numFmtId="0">
      <sharedItems/>
    </cacheField>
    <cacheField name="Months (Date)" numFmtId="0" databaseField="0">
      <fieldGroup base="4">
        <rangePr groupBy="months" startDate="2022-05-07T00:00:00" endDate="2023-06-09T00:00:00"/>
        <groupItems count="14">
          <s v="&lt;5/7/2022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6/9/2023"/>
        </groupItems>
      </fieldGroup>
    </cacheField>
    <cacheField name="Quarters (Date)" numFmtId="0" databaseField="0">
      <fieldGroup base="4">
        <rangePr groupBy="quarters" startDate="2022-05-07T00:00:00" endDate="2023-06-09T00:00:00"/>
        <groupItems count="6">
          <s v="&lt;5/7/2022"/>
          <s v="Qtr1"/>
          <s v="Qtr2"/>
          <s v="Qtr3"/>
          <s v="Qtr4"/>
          <s v="&gt;6/9/2023"/>
        </groupItems>
      </fieldGroup>
    </cacheField>
    <cacheField name="Years (Date)" numFmtId="0" databaseField="0">
      <fieldGroup base="4">
        <rangePr groupBy="years" startDate="2022-05-07T00:00:00" endDate="2023-06-09T00:00:00"/>
        <groupItems count="4">
          <s v="&lt;5/7/2022"/>
          <s v="2022"/>
          <s v="2023"/>
          <s v="&gt;6/9/2023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">
  <r>
    <x v="0"/>
    <s v="Lease Finance"/>
    <n v="1892247"/>
    <s v="PKR"/>
    <x v="0"/>
    <s v="Closed - Paid"/>
    <m/>
    <s v="2022-2023"/>
  </r>
  <r>
    <x v="1"/>
    <s v="Working Capital"/>
    <n v="13874508"/>
    <s v="PKR"/>
    <x v="1"/>
    <s v="Closed - Paid"/>
    <m/>
    <s v="2022-2023"/>
  </r>
  <r>
    <x v="2"/>
    <s v="Working Capital"/>
    <n v="15348980"/>
    <s v="PKR"/>
    <x v="2"/>
    <s v="Past due 30 days"/>
    <m/>
    <s v="2022-2023"/>
  </r>
  <r>
    <x v="3"/>
    <s v="Lease Finance"/>
    <n v="2430282"/>
    <s v="PKR"/>
    <x v="3"/>
    <s v="Closed - Paid"/>
    <m/>
    <s v="2022-2023"/>
  </r>
  <r>
    <x v="4"/>
    <s v="Working Capital"/>
    <n v="5140138"/>
    <s v="PKR"/>
    <x v="4"/>
    <s v="Past due 30 days"/>
    <m/>
    <s v="2022-2023"/>
  </r>
  <r>
    <x v="5"/>
    <s v="Term Loan"/>
    <n v="7375713"/>
    <s v="PKR"/>
    <x v="5"/>
    <s v="Past due 30 days"/>
    <m/>
    <s v="2022-2023"/>
  </r>
  <r>
    <x v="6"/>
    <s v="Term Loan"/>
    <n v="4430739"/>
    <s v="PKR"/>
    <x v="6"/>
    <s v="Past due 30 days"/>
    <m/>
    <s v="2022-2023"/>
  </r>
  <r>
    <x v="7"/>
    <s v="Lease Finance"/>
    <n v="5965342"/>
    <s v="PKR"/>
    <x v="7"/>
    <s v="Closed - Paid"/>
    <m/>
    <s v="2022-2023"/>
  </r>
  <r>
    <x v="8"/>
    <s v="Term Loan"/>
    <n v="5636175"/>
    <s v="PKR"/>
    <x v="8"/>
    <s v="Client requested top-up"/>
    <m/>
    <s v="2022-202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9E1D02C-954F-443A-A5AB-FEAF43244388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17" firstHeaderRow="1" firstDataRow="5" firstDataCol="1"/>
  <pivotFields count="11">
    <pivotField axis="axisRow" showAll="0">
      <items count="10">
        <item x="4"/>
        <item x="7"/>
        <item x="2"/>
        <item x="6"/>
        <item x="0"/>
        <item x="1"/>
        <item x="3"/>
        <item x="8"/>
        <item x="5"/>
        <item t="default"/>
      </items>
    </pivotField>
    <pivotField showAll="0"/>
    <pivotField dataField="1" numFmtId="167" showAll="0"/>
    <pivotField showAll="0"/>
    <pivotField axis="axisCol" numFmtId="166" showAll="0">
      <items count="10">
        <item x="6"/>
        <item x="4"/>
        <item x="2"/>
        <item x="1"/>
        <item x="3"/>
        <item x="0"/>
        <item x="8"/>
        <item x="5"/>
        <item x="7"/>
        <item t="default"/>
      </items>
    </pivotField>
    <pivotField showAll="0"/>
    <pivotField showAll="0"/>
    <pivotField showAll="0"/>
    <pivotField axis="axisCol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axis="axisCol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Col" showAll="0">
      <items count="5">
        <item sd="0" x="0"/>
        <item sd="0" x="1"/>
        <item sd="0" x="2"/>
        <item sd="0" x="3"/>
        <item t="default"/>
      </items>
    </pivotField>
  </pivotFields>
  <rowFields count="1">
    <field x="0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4">
    <field x="10"/>
    <field x="9"/>
    <field x="8"/>
    <field x="4"/>
  </colFields>
  <colItems count="3">
    <i>
      <x v="1"/>
    </i>
    <i>
      <x v="2"/>
    </i>
    <i t="grand">
      <x/>
    </i>
  </colItems>
  <dataFields count="1">
    <dataField name="Sum of Amount (PKR)" fld="2" baseField="0" baseItem="0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05BBCF6-1210-4DC0-9533-B5200DAA00DB}" name="LoanBook2018_2019" displayName="LoanBook2018_2019" ref="A1:H10" totalsRowShown="0" headerRowDxfId="44" dataDxfId="43">
  <autoFilter ref="A1:H10" xr:uid="{A05BBCF6-1210-4DC0-9533-B5200DAA00DB}"/>
  <tableColumns count="8">
    <tableColumn id="1" xr3:uid="{6F4F91A1-5EB1-45DE-A0B4-823805A3C26D}" name="Company " dataDxfId="42"/>
    <tableColumn id="2" xr3:uid="{0EE21108-9482-497B-B8D7-8FB5F1856FC3}" name="Loan_Type" dataDxfId="41"/>
    <tableColumn id="3" xr3:uid="{F771C2BD-7186-4D2D-9A03-D1F387C31B8F}" name="Amount (PKR)" dataDxfId="40" dataCellStyle="Comma"/>
    <tableColumn id="7" xr3:uid="{337C5E84-FD05-462F-870C-6CBFE09F976D}" name="Currency " dataDxfId="39"/>
    <tableColumn id="4" xr3:uid="{2D8521EB-3F32-4DEE-A8D2-2BCC413D4A6A}" name="Date " dataDxfId="38"/>
    <tableColumn id="5" xr3:uid="{B53ED3AC-975A-4BCB-BA90-CD5004EC954C}" name="Status " dataDxfId="37"/>
    <tableColumn id="8" xr3:uid="{43999634-8CC3-4B7A-9FD5-F1868B40D4E9}" name="Notes " dataDxfId="36"/>
    <tableColumn id="9" xr3:uid="{9463979B-50CD-4BFE-BECC-FB920026A7EC}" name="Source_Block" dataDxfId="35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3547EAB-DFED-4FDB-88D1-2FF31D216BEA}" name="LoanBook2020_2021" displayName="LoanBook2020_2021" ref="A1:H10" totalsRowShown="0" headerRowDxfId="34" dataDxfId="33">
  <autoFilter ref="A1:H10" xr:uid="{D3547EAB-DFED-4FDB-88D1-2FF31D216BEA}"/>
  <tableColumns count="8">
    <tableColumn id="2" xr3:uid="{DDF43C0F-2C20-4ECB-B696-D8C254759644}" name="Company " dataDxfId="32"/>
    <tableColumn id="3" xr3:uid="{02B472B1-A7A7-40A0-8D6C-3238854C6FCD}" name="Loan_Type " dataDxfId="31"/>
    <tableColumn id="4" xr3:uid="{DF82B8DF-AA80-439B-8924-A5B778451BEE}" name="Amount (PKR)" dataDxfId="30"/>
    <tableColumn id="9" xr3:uid="{24417B60-B7A2-4BF6-A03B-93CDDCD232FF}" name="Currency " dataDxfId="29"/>
    <tableColumn id="8" xr3:uid="{6886E7D0-E9AB-47E9-8BD6-5BE7CFB8376B}" name="Date" dataDxfId="28"/>
    <tableColumn id="5" xr3:uid="{FE2227F6-EFD3-4D69-B2DE-078905CE4DD8}" name="Status " dataDxfId="27"/>
    <tableColumn id="6" xr3:uid="{848C9ED1-F93B-432C-A481-114FA354AC15}" name="Notes " dataDxfId="26"/>
    <tableColumn id="10" xr3:uid="{63B72437-E05B-4B81-A728-701FE83F532D}" name="Source_Block" dataDxfId="25"/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8AAD93C-FDAD-4126-8C35-A7F9362A6487}" name="LoanBook2022_2023" displayName="LoanBook2022_2023" ref="A1:H10" totalsRowShown="0" headerRowDxfId="24" dataDxfId="23">
  <autoFilter ref="A1:H10" xr:uid="{48AAD93C-FDAD-4126-8C35-A7F9362A6487}"/>
  <tableColumns count="8">
    <tableColumn id="1" xr3:uid="{AEF07859-0BBA-41BC-8AA2-9EF1BF9FA0C5}" name="Company " dataDxfId="22"/>
    <tableColumn id="2" xr3:uid="{A32039D9-A041-47C0-AFCA-BBCCBA9E4D68}" name="Loan_Type " dataDxfId="21"/>
    <tableColumn id="4" xr3:uid="{57EB1DFC-1C60-4448-AE9C-3CC21FDA9E3D}" name="Amount (PKR)" dataDxfId="20"/>
    <tableColumn id="5" xr3:uid="{2E47973A-F790-4CC7-8B43-E6D976DB957A}" name="Currency "/>
    <tableColumn id="7" xr3:uid="{0D9B54D3-BF64-4D11-AC32-AD656FCA37E6}" name="Date" dataDxfId="19"/>
    <tableColumn id="6" xr3:uid="{7D8DEAF7-265A-4939-85A4-C102A9FA1AA2}" name="Status " dataDxfId="18"/>
    <tableColumn id="8" xr3:uid="{70D7F3A1-6863-4AAF-81AA-926E7A9D75F2}" name="Notes " dataDxfId="17"/>
    <tableColumn id="9" xr3:uid="{3868B4B9-DAA8-4275-89CD-7ADE7182F836}" name="Source_Block" dataDxfId="16"/>
  </tableColumns>
  <tableStyleInfo name="TableStyleLight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A08F1A6-4CEA-4637-9187-289C1A7FA6D9}" name="Table4" displayName="Table4" ref="A1:N38" totalsRowShown="0" headerRowDxfId="15" dataDxfId="14">
  <autoFilter ref="A1:N38" xr:uid="{6A08F1A6-4CEA-4637-9187-289C1A7FA6D9}"/>
  <tableColumns count="14">
    <tableColumn id="15" xr3:uid="{B043FCEB-84DD-4227-B18C-B8916CAAAEF8}" name="Account_ID" dataDxfId="13">
      <calculatedColumnFormula>TRIM(Table4[[#This Row],[Account_ID2]])</calculatedColumnFormula>
    </tableColumn>
    <tableColumn id="1" xr3:uid="{FDFB0876-A47B-431B-9CE8-04201FA855BD}" name="Account_ID2" dataDxfId="12"/>
    <tableColumn id="2" xr3:uid="{EE7D8474-8AE9-4A95-91FE-9D4AFB8323E6}" name="Account_Name" dataDxfId="11">
      <calculatedColumnFormula>PROPER(TRIM(D2))</calculatedColumnFormula>
    </tableColumn>
    <tableColumn id="3" xr3:uid="{EB310E7B-CC41-4328-A728-3D8587F0F036}" name="Column1" dataDxfId="10"/>
    <tableColumn id="4" xr3:uid="{905C4B6E-6794-4497-879B-15227D44ABAD}" name="Industry" dataDxfId="9"/>
    <tableColumn id="5" xr3:uid="{14952674-1DB4-4C45-9D64-1CBCA72EC08C}" name="Billing_City" dataDxfId="8"/>
    <tableColumn id="6" xr3:uid="{F439CEE5-3CFF-4CE5-891F-501BF487AD00}" name="Billing_Country" dataDxfId="7"/>
    <tableColumn id="12" xr3:uid="{65EF537A-5DF8-40EE-A41D-962E0307B1C4}" name="Phone" dataDxfId="6">
      <calculatedColumnFormula>_xlfn.LET(_xlpm.clean, SUBSTITUTE(SUBSTITUTE(SUBSTITUTE(SUBSTITUTE(TRIM(I2)," ",""),"-",""),"(",""),")",""),
     _xlpm.converted, IF(LEFT(_xlpm.clean,3)="+92","0"&amp;MID(_xlpm.clean,4,20),
                 IF(LEFT(_xlpm.clean,2)="92","0"&amp;MID(_xlpm.clean,3,20),
                    _xlpm.clean)),
     IF(TRIM(I2)="","N/A",
        IF(LEN(_xlpm.converted)&gt;=10, _xlpm.converted, "N/A")))</calculatedColumnFormula>
    </tableColumn>
    <tableColumn id="7" xr3:uid="{AE397EE4-03D9-4B23-B2FA-53699C63EEDF}" name="Phon" dataDxfId="5"/>
    <tableColumn id="8" xr3:uid="{DCB8C944-BE8A-4452-B785-D37DC12E34DD}" name="Annual_Revenue" dataDxfId="4" dataCellStyle="Comma"/>
    <tableColumn id="9" xr3:uid="{DDAC155A-5242-4492-AAE6-E93039C15125}" name="Account_Owner" dataDxfId="3"/>
    <tableColumn id="14" xr3:uid="{CE8693E3-BDB5-4DFE-BE72-9EC21E699E22}" name="Date" dataDxfId="2"/>
    <tableColumn id="10" xr3:uid="{126DDED6-97FF-4C08-AC4E-C10B53B4B5D1}" name="Created_Date" dataDxfId="1"/>
    <tableColumn id="11" xr3:uid="{DF088BBC-5472-4C23-9005-E1B5E66D7332}" name="Rating" dataDxfId="0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7"/>
  <sheetViews>
    <sheetView tabSelected="1" workbookViewId="0">
      <selection activeCell="G16" sqref="G16"/>
    </sheetView>
  </sheetViews>
  <sheetFormatPr defaultRowHeight="15" x14ac:dyDescent="0.25"/>
  <cols>
    <col min="1" max="1" width="20.140625" customWidth="1"/>
    <col min="2" max="2" width="18.42578125" customWidth="1"/>
    <col min="3" max="3" width="15.7109375" style="8" customWidth="1"/>
    <col min="4" max="4" width="14" bestFit="1" customWidth="1"/>
    <col min="5" max="5" width="17.7109375" customWidth="1"/>
    <col min="6" max="6" width="14.85546875" customWidth="1"/>
    <col min="7" max="7" width="12.7109375" customWidth="1"/>
    <col min="8" max="8" width="17.42578125" customWidth="1"/>
  </cols>
  <sheetData>
    <row r="1" spans="1:8" x14ac:dyDescent="0.25">
      <c r="A1" s="3" t="s">
        <v>1200</v>
      </c>
      <c r="B1" s="3" t="s">
        <v>407</v>
      </c>
      <c r="C1" s="7" t="s">
        <v>0</v>
      </c>
      <c r="D1" s="3" t="s">
        <v>1202</v>
      </c>
      <c r="E1" s="3" t="s">
        <v>1203</v>
      </c>
      <c r="F1" s="3" t="s">
        <v>1204</v>
      </c>
      <c r="G1" s="3" t="s">
        <v>1205</v>
      </c>
      <c r="H1" s="3" t="s">
        <v>1206</v>
      </c>
    </row>
    <row r="2" spans="1:8" x14ac:dyDescent="0.25">
      <c r="A2" s="4" t="s">
        <v>1</v>
      </c>
      <c r="B2" s="4" t="s">
        <v>2</v>
      </c>
      <c r="C2" s="9">
        <v>10767728</v>
      </c>
      <c r="D2" s="4" t="s">
        <v>29</v>
      </c>
      <c r="E2" s="11">
        <v>43155</v>
      </c>
      <c r="F2" s="4" t="s">
        <v>3</v>
      </c>
      <c r="G2" s="4"/>
      <c r="H2" s="4" t="s">
        <v>1207</v>
      </c>
    </row>
    <row r="3" spans="1:8" x14ac:dyDescent="0.25">
      <c r="A3" s="4" t="s">
        <v>4</v>
      </c>
      <c r="B3" s="4" t="s">
        <v>5</v>
      </c>
      <c r="C3" s="9">
        <v>6920383</v>
      </c>
      <c r="D3" s="4" t="s">
        <v>29</v>
      </c>
      <c r="E3" s="11">
        <v>43469</v>
      </c>
      <c r="F3" s="4" t="s">
        <v>3</v>
      </c>
      <c r="G3" s="4"/>
      <c r="H3" s="4" t="s">
        <v>1207</v>
      </c>
    </row>
    <row r="4" spans="1:8" x14ac:dyDescent="0.25">
      <c r="A4" s="4" t="s">
        <v>1225</v>
      </c>
      <c r="B4" s="4" t="s">
        <v>7</v>
      </c>
      <c r="C4" s="9">
        <v>11295311</v>
      </c>
      <c r="D4" s="4" t="s">
        <v>29</v>
      </c>
      <c r="E4" s="11">
        <v>43337</v>
      </c>
      <c r="F4" t="s">
        <v>1209</v>
      </c>
      <c r="G4" s="4"/>
      <c r="H4" s="4" t="s">
        <v>1207</v>
      </c>
    </row>
    <row r="5" spans="1:8" x14ac:dyDescent="0.25">
      <c r="A5" s="4" t="s">
        <v>8</v>
      </c>
      <c r="B5" s="4" t="s">
        <v>5</v>
      </c>
      <c r="C5" s="9">
        <v>5692472</v>
      </c>
      <c r="D5" s="4" t="s">
        <v>29</v>
      </c>
      <c r="E5" s="11">
        <v>43645</v>
      </c>
      <c r="F5" s="4" t="s">
        <v>9</v>
      </c>
      <c r="G5" s="4"/>
      <c r="H5" s="4" t="s">
        <v>1207</v>
      </c>
    </row>
    <row r="6" spans="1:8" x14ac:dyDescent="0.25">
      <c r="A6" s="4" t="s">
        <v>10</v>
      </c>
      <c r="B6" s="4" t="s">
        <v>2</v>
      </c>
      <c r="C6" s="9">
        <v>8799526</v>
      </c>
      <c r="D6" s="4" t="s">
        <v>29</v>
      </c>
      <c r="E6" s="11">
        <v>43675</v>
      </c>
      <c r="F6" s="4" t="s">
        <v>3</v>
      </c>
      <c r="G6" s="4"/>
      <c r="H6" s="4" t="s">
        <v>1207</v>
      </c>
    </row>
    <row r="7" spans="1:8" x14ac:dyDescent="0.25">
      <c r="A7" s="4" t="s">
        <v>11</v>
      </c>
      <c r="B7" s="4" t="s">
        <v>5</v>
      </c>
      <c r="C7" s="9">
        <v>4550551</v>
      </c>
      <c r="D7" s="4" t="s">
        <v>29</v>
      </c>
      <c r="E7" s="11">
        <v>43324</v>
      </c>
      <c r="F7" s="4" t="s">
        <v>12</v>
      </c>
      <c r="G7" s="4"/>
      <c r="H7" s="4" t="s">
        <v>1207</v>
      </c>
    </row>
    <row r="8" spans="1:8" x14ac:dyDescent="0.25">
      <c r="A8" s="4" t="s">
        <v>1208</v>
      </c>
      <c r="B8" s="4" t="s">
        <v>2</v>
      </c>
      <c r="C8" s="9">
        <v>708234</v>
      </c>
      <c r="D8" s="4" t="s">
        <v>29</v>
      </c>
      <c r="E8" s="11">
        <v>43460</v>
      </c>
      <c r="F8" s="4" t="s">
        <v>13</v>
      </c>
      <c r="G8" s="4" t="s">
        <v>19</v>
      </c>
      <c r="H8" s="4" t="s">
        <v>1207</v>
      </c>
    </row>
    <row r="9" spans="1:8" x14ac:dyDescent="0.25">
      <c r="A9" s="4" t="s">
        <v>14</v>
      </c>
      <c r="B9" s="4" t="s">
        <v>2</v>
      </c>
      <c r="C9" s="9">
        <v>8809604</v>
      </c>
      <c r="D9" s="4" t="s">
        <v>29</v>
      </c>
      <c r="E9" s="11">
        <v>43164</v>
      </c>
      <c r="F9" s="4" t="s">
        <v>13</v>
      </c>
      <c r="G9" s="4"/>
      <c r="H9" s="4" t="s">
        <v>1207</v>
      </c>
    </row>
    <row r="10" spans="1:8" x14ac:dyDescent="0.25">
      <c r="A10" s="4" t="s">
        <v>15</v>
      </c>
      <c r="B10" s="4" t="s">
        <v>16</v>
      </c>
      <c r="C10" s="9">
        <v>894355</v>
      </c>
      <c r="D10" s="4" t="s">
        <v>29</v>
      </c>
      <c r="E10" s="11">
        <v>43331</v>
      </c>
      <c r="F10" s="4" t="s">
        <v>13</v>
      </c>
      <c r="G10" s="4"/>
      <c r="H10" s="4" t="s">
        <v>1207</v>
      </c>
    </row>
    <row r="11" spans="1:8" x14ac:dyDescent="0.25">
      <c r="A11" s="1"/>
    </row>
    <row r="12" spans="1:8" x14ac:dyDescent="0.25">
      <c r="A12" s="1"/>
    </row>
    <row r="13" spans="1:8" x14ac:dyDescent="0.25">
      <c r="A13" s="1"/>
    </row>
    <row r="14" spans="1:8" x14ac:dyDescent="0.25">
      <c r="A14" s="1"/>
    </row>
    <row r="15" spans="1:8" x14ac:dyDescent="0.25">
      <c r="A15" s="1"/>
    </row>
    <row r="16" spans="1:8" x14ac:dyDescent="0.25">
      <c r="A16" s="1"/>
    </row>
    <row r="17" spans="1:1" x14ac:dyDescent="0.25">
      <c r="A17" s="1"/>
    </row>
    <row r="18" spans="1:1" x14ac:dyDescent="0.25">
      <c r="A18" s="1"/>
    </row>
    <row r="19" spans="1:1" x14ac:dyDescent="0.25">
      <c r="A19" s="1"/>
    </row>
    <row r="20" spans="1:1" x14ac:dyDescent="0.25">
      <c r="A20" s="1"/>
    </row>
    <row r="21" spans="1:1" x14ac:dyDescent="0.25">
      <c r="A21" s="1"/>
    </row>
    <row r="22" spans="1:1" x14ac:dyDescent="0.25">
      <c r="A22" s="1"/>
    </row>
    <row r="23" spans="1:1" x14ac:dyDescent="0.25">
      <c r="A23" s="1"/>
    </row>
    <row r="24" spans="1:1" x14ac:dyDescent="0.25">
      <c r="A24" s="1"/>
    </row>
    <row r="25" spans="1:1" x14ac:dyDescent="0.25">
      <c r="A25" s="1"/>
    </row>
    <row r="26" spans="1:1" x14ac:dyDescent="0.25">
      <c r="A26" s="1"/>
    </row>
    <row r="27" spans="1:1" x14ac:dyDescent="0.25">
      <c r="A27" s="1"/>
    </row>
    <row r="28" spans="1:1" x14ac:dyDescent="0.25">
      <c r="A28" s="1"/>
    </row>
    <row r="29" spans="1:1" x14ac:dyDescent="0.25">
      <c r="A29" s="1"/>
    </row>
    <row r="30" spans="1:1" x14ac:dyDescent="0.25">
      <c r="A30" s="1"/>
    </row>
    <row r="31" spans="1:1" x14ac:dyDescent="0.25">
      <c r="A31" s="1"/>
    </row>
    <row r="32" spans="1:1" x14ac:dyDescent="0.25">
      <c r="A32" s="1"/>
    </row>
    <row r="33" spans="1:1" x14ac:dyDescent="0.25">
      <c r="A33" s="1"/>
    </row>
    <row r="34" spans="1:1" x14ac:dyDescent="0.25">
      <c r="A34" s="1"/>
    </row>
    <row r="35" spans="1:1" x14ac:dyDescent="0.25">
      <c r="A35" s="1"/>
    </row>
    <row r="36" spans="1:1" x14ac:dyDescent="0.25">
      <c r="A36" s="1"/>
    </row>
    <row r="37" spans="1:1" x14ac:dyDescent="0.25">
      <c r="A37" s="1"/>
    </row>
    <row r="38" spans="1:1" x14ac:dyDescent="0.25">
      <c r="A38" s="1"/>
    </row>
    <row r="39" spans="1:1" x14ac:dyDescent="0.25">
      <c r="A39" s="1"/>
    </row>
    <row r="40" spans="1:1" x14ac:dyDescent="0.25">
      <c r="A40" s="1"/>
    </row>
    <row r="41" spans="1:1" x14ac:dyDescent="0.25">
      <c r="A41" s="1"/>
    </row>
    <row r="42" spans="1:1" x14ac:dyDescent="0.25">
      <c r="A42" s="1"/>
    </row>
    <row r="43" spans="1:1" x14ac:dyDescent="0.25">
      <c r="A43" s="1"/>
    </row>
    <row r="44" spans="1:1" x14ac:dyDescent="0.25">
      <c r="A44" s="1"/>
    </row>
    <row r="45" spans="1:1" x14ac:dyDescent="0.25">
      <c r="A45" s="1"/>
    </row>
    <row r="46" spans="1:1" x14ac:dyDescent="0.25">
      <c r="A46" s="1"/>
    </row>
    <row r="47" spans="1:1" x14ac:dyDescent="0.25">
      <c r="A47" s="1"/>
    </row>
  </sheetData>
  <phoneticPr fontId="6" type="noConversion"/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09480F-A8AA-4CB0-92DB-C74A2FD64C47}">
  <dimension ref="A1:H10"/>
  <sheetViews>
    <sheetView workbookViewId="0">
      <selection activeCell="G5" sqref="G5"/>
    </sheetView>
  </sheetViews>
  <sheetFormatPr defaultRowHeight="15" x14ac:dyDescent="0.25"/>
  <cols>
    <col min="1" max="1" width="22.85546875" customWidth="1"/>
    <col min="2" max="2" width="17.85546875" customWidth="1"/>
    <col min="3" max="3" width="16.5703125" customWidth="1"/>
    <col min="4" max="4" width="23.140625" customWidth="1"/>
    <col min="5" max="5" width="22.85546875" bestFit="1" customWidth="1"/>
    <col min="6" max="6" width="13.28515625" customWidth="1"/>
    <col min="7" max="7" width="23" customWidth="1"/>
    <col min="8" max="8" width="19" customWidth="1"/>
  </cols>
  <sheetData>
    <row r="1" spans="1:8" x14ac:dyDescent="0.25">
      <c r="A1" s="3" t="s">
        <v>1200</v>
      </c>
      <c r="B1" s="3" t="s">
        <v>1210</v>
      </c>
      <c r="C1" s="3" t="s">
        <v>0</v>
      </c>
      <c r="D1" s="3" t="s">
        <v>1202</v>
      </c>
      <c r="E1" s="3" t="s">
        <v>1211</v>
      </c>
      <c r="F1" s="3" t="s">
        <v>1204</v>
      </c>
      <c r="G1" s="3" t="s">
        <v>1205</v>
      </c>
      <c r="H1" s="3" t="s">
        <v>1206</v>
      </c>
    </row>
    <row r="2" spans="1:8" x14ac:dyDescent="0.25">
      <c r="A2" s="4" t="s">
        <v>1208</v>
      </c>
      <c r="B2" s="4" t="s">
        <v>7</v>
      </c>
      <c r="C2" s="12">
        <v>8035808</v>
      </c>
      <c r="D2" s="6" t="s">
        <v>29</v>
      </c>
      <c r="E2" s="11">
        <v>44150</v>
      </c>
      <c r="F2" s="4" t="s">
        <v>9</v>
      </c>
      <c r="G2" s="4" t="s">
        <v>18</v>
      </c>
      <c r="H2" s="4" t="s">
        <v>1212</v>
      </c>
    </row>
    <row r="3" spans="1:8" x14ac:dyDescent="0.25">
      <c r="A3" s="4" t="s">
        <v>10</v>
      </c>
      <c r="B3" s="4" t="s">
        <v>7</v>
      </c>
      <c r="C3" s="12">
        <v>12051651</v>
      </c>
      <c r="D3" s="6" t="s">
        <v>29</v>
      </c>
      <c r="E3" s="11">
        <v>44038</v>
      </c>
      <c r="F3" s="4" t="s">
        <v>12</v>
      </c>
      <c r="G3" s="4" t="s">
        <v>18</v>
      </c>
      <c r="H3" s="4" t="s">
        <v>1212</v>
      </c>
    </row>
    <row r="4" spans="1:8" x14ac:dyDescent="0.25">
      <c r="A4" s="4" t="s">
        <v>8</v>
      </c>
      <c r="B4" s="4" t="s">
        <v>7</v>
      </c>
      <c r="C4" s="12">
        <v>1637730</v>
      </c>
      <c r="D4" s="6" t="s">
        <v>29</v>
      </c>
      <c r="E4" s="11">
        <v>44204</v>
      </c>
      <c r="F4" s="4" t="s">
        <v>9</v>
      </c>
      <c r="H4" s="4" t="s">
        <v>1212</v>
      </c>
    </row>
    <row r="5" spans="1:8" x14ac:dyDescent="0.25">
      <c r="A5" s="4" t="s">
        <v>15</v>
      </c>
      <c r="B5" s="4" t="s">
        <v>5</v>
      </c>
      <c r="C5" s="13">
        <v>13341868</v>
      </c>
      <c r="D5" s="6" t="s">
        <v>29</v>
      </c>
      <c r="E5" s="11">
        <v>43980</v>
      </c>
      <c r="F5" s="4" t="s">
        <v>12</v>
      </c>
      <c r="G5" s="4" t="s">
        <v>19</v>
      </c>
      <c r="H5" s="4" t="s">
        <v>1212</v>
      </c>
    </row>
    <row r="6" spans="1:8" x14ac:dyDescent="0.25">
      <c r="A6" s="4" t="s">
        <v>20</v>
      </c>
      <c r="B6" s="4" t="s">
        <v>2</v>
      </c>
      <c r="C6" s="12">
        <v>2291327</v>
      </c>
      <c r="D6" s="6" t="s">
        <v>29</v>
      </c>
      <c r="E6" s="11">
        <v>44111</v>
      </c>
      <c r="F6" s="4" t="s">
        <v>9</v>
      </c>
      <c r="G6" s="4" t="s">
        <v>21</v>
      </c>
      <c r="H6" s="4" t="s">
        <v>1212</v>
      </c>
    </row>
    <row r="7" spans="1:8" x14ac:dyDescent="0.25">
      <c r="A7" s="4" t="s">
        <v>11</v>
      </c>
      <c r="B7" s="4" t="s">
        <v>2</v>
      </c>
      <c r="C7" s="12">
        <v>10505272</v>
      </c>
      <c r="D7" s="6" t="s">
        <v>29</v>
      </c>
      <c r="E7" s="11">
        <v>44104</v>
      </c>
      <c r="F7" s="4" t="s">
        <v>9</v>
      </c>
      <c r="G7" s="4" t="s">
        <v>21</v>
      </c>
      <c r="H7" s="4" t="s">
        <v>1212</v>
      </c>
    </row>
    <row r="8" spans="1:8" x14ac:dyDescent="0.25">
      <c r="A8" s="4" t="s">
        <v>22</v>
      </c>
      <c r="B8" s="4" t="s">
        <v>16</v>
      </c>
      <c r="C8" s="12">
        <v>2749600</v>
      </c>
      <c r="D8" s="6" t="s">
        <v>29</v>
      </c>
      <c r="E8" s="11">
        <v>44198</v>
      </c>
      <c r="F8" s="4" t="s">
        <v>13</v>
      </c>
      <c r="G8" s="4" t="s">
        <v>18</v>
      </c>
      <c r="H8" s="4" t="s">
        <v>1212</v>
      </c>
    </row>
    <row r="9" spans="1:8" x14ac:dyDescent="0.25">
      <c r="A9" s="4" t="s">
        <v>23</v>
      </c>
      <c r="B9" s="4" t="s">
        <v>2</v>
      </c>
      <c r="C9" s="12">
        <v>3247879</v>
      </c>
      <c r="D9" s="6" t="s">
        <v>29</v>
      </c>
      <c r="E9" s="11">
        <v>44334</v>
      </c>
      <c r="F9" s="4" t="s">
        <v>9</v>
      </c>
      <c r="G9" s="4" t="s">
        <v>21</v>
      </c>
      <c r="H9" s="4" t="s">
        <v>1212</v>
      </c>
    </row>
    <row r="10" spans="1:8" x14ac:dyDescent="0.25">
      <c r="A10" s="4" t="s">
        <v>14</v>
      </c>
      <c r="B10" s="4" t="s">
        <v>16</v>
      </c>
      <c r="C10" s="12">
        <v>4233840</v>
      </c>
      <c r="D10" s="6" t="s">
        <v>29</v>
      </c>
      <c r="E10" s="11">
        <v>43846</v>
      </c>
      <c r="F10" s="4" t="s">
        <v>9</v>
      </c>
      <c r="G10" s="4" t="s">
        <v>21</v>
      </c>
      <c r="H10" s="4" t="s">
        <v>1212</v>
      </c>
    </row>
  </sheetData>
  <phoneticPr fontId="6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4FF82B-72FA-454D-A64E-5570643A9896}">
  <dimension ref="A3:D17"/>
  <sheetViews>
    <sheetView workbookViewId="0">
      <selection activeCell="A3" sqref="A3"/>
    </sheetView>
  </sheetViews>
  <sheetFormatPr defaultRowHeight="15" x14ac:dyDescent="0.25"/>
  <cols>
    <col min="1" max="1" width="20.28515625" bestFit="1" customWidth="1"/>
    <col min="2" max="2" width="16.28515625" bestFit="1" customWidth="1"/>
    <col min="3" max="5" width="11.7109375" bestFit="1" customWidth="1"/>
    <col min="6" max="6" width="11.42578125" bestFit="1" customWidth="1"/>
    <col min="7" max="7" width="12" bestFit="1" customWidth="1"/>
    <col min="8" max="8" width="11.7109375" bestFit="1" customWidth="1"/>
    <col min="9" max="9" width="11.5703125" bestFit="1" customWidth="1"/>
    <col min="10" max="10" width="10.7109375" bestFit="1" customWidth="1"/>
    <col min="11" max="11" width="11.7109375" bestFit="1" customWidth="1"/>
  </cols>
  <sheetData>
    <row r="3" spans="1:4" x14ac:dyDescent="0.25">
      <c r="A3" s="18" t="s">
        <v>1222</v>
      </c>
      <c r="B3" s="18" t="s">
        <v>1219</v>
      </c>
    </row>
    <row r="4" spans="1:4" x14ac:dyDescent="0.25">
      <c r="B4" t="s">
        <v>1223</v>
      </c>
      <c r="C4" t="s">
        <v>1224</v>
      </c>
      <c r="D4" t="s">
        <v>1220</v>
      </c>
    </row>
    <row r="7" spans="1:4" x14ac:dyDescent="0.25">
      <c r="A7" s="18" t="s">
        <v>1221</v>
      </c>
    </row>
    <row r="8" spans="1:4" x14ac:dyDescent="0.25">
      <c r="A8" s="19" t="s">
        <v>28</v>
      </c>
      <c r="B8" s="20">
        <v>5140138</v>
      </c>
      <c r="C8" s="20"/>
      <c r="D8" s="20">
        <v>5140138</v>
      </c>
    </row>
    <row r="9" spans="1:4" x14ac:dyDescent="0.25">
      <c r="A9" s="19" t="s">
        <v>6</v>
      </c>
      <c r="B9" s="20"/>
      <c r="C9" s="20">
        <v>5965342</v>
      </c>
      <c r="D9" s="20">
        <v>5965342</v>
      </c>
    </row>
    <row r="10" spans="1:4" x14ac:dyDescent="0.25">
      <c r="A10" s="19" t="s">
        <v>26</v>
      </c>
      <c r="B10" s="20">
        <v>15348980</v>
      </c>
      <c r="C10" s="20"/>
      <c r="D10" s="20">
        <v>15348980</v>
      </c>
    </row>
    <row r="11" spans="1:4" x14ac:dyDescent="0.25">
      <c r="A11" s="19" t="s">
        <v>15</v>
      </c>
      <c r="B11" s="20">
        <v>4430739</v>
      </c>
      <c r="C11" s="20"/>
      <c r="D11" s="20">
        <v>4430739</v>
      </c>
    </row>
    <row r="12" spans="1:4" x14ac:dyDescent="0.25">
      <c r="A12" s="19" t="s">
        <v>1</v>
      </c>
      <c r="B12" s="20">
        <v>1892247</v>
      </c>
      <c r="C12" s="20"/>
      <c r="D12" s="20">
        <v>1892247</v>
      </c>
    </row>
    <row r="13" spans="1:4" x14ac:dyDescent="0.25">
      <c r="A13" s="19" t="s">
        <v>14</v>
      </c>
      <c r="B13" s="20">
        <v>13874508</v>
      </c>
      <c r="C13" s="20"/>
      <c r="D13" s="20">
        <v>13874508</v>
      </c>
    </row>
    <row r="14" spans="1:4" x14ac:dyDescent="0.25">
      <c r="A14" s="19" t="s">
        <v>10</v>
      </c>
      <c r="B14" s="20">
        <v>2430282</v>
      </c>
      <c r="C14" s="20"/>
      <c r="D14" s="20">
        <v>2430282</v>
      </c>
    </row>
    <row r="15" spans="1:4" x14ac:dyDescent="0.25">
      <c r="A15" s="19" t="s">
        <v>23</v>
      </c>
      <c r="B15" s="20">
        <v>5636175</v>
      </c>
      <c r="C15" s="20"/>
      <c r="D15" s="20">
        <v>5636175</v>
      </c>
    </row>
    <row r="16" spans="1:4" x14ac:dyDescent="0.25">
      <c r="A16" s="19" t="s">
        <v>8</v>
      </c>
      <c r="B16" s="20"/>
      <c r="C16" s="20">
        <v>7375713</v>
      </c>
      <c r="D16" s="20">
        <v>7375713</v>
      </c>
    </row>
    <row r="17" spans="1:4" x14ac:dyDescent="0.25">
      <c r="A17" s="19" t="s">
        <v>1220</v>
      </c>
      <c r="B17" s="20">
        <v>48753069</v>
      </c>
      <c r="C17" s="20">
        <v>13341055</v>
      </c>
      <c r="D17" s="20">
        <v>62094124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0"/>
  <sheetViews>
    <sheetView workbookViewId="0">
      <selection activeCell="F20" sqref="F20"/>
    </sheetView>
  </sheetViews>
  <sheetFormatPr defaultRowHeight="15" x14ac:dyDescent="0.25"/>
  <cols>
    <col min="1" max="1" width="22" customWidth="1"/>
    <col min="2" max="2" width="20" customWidth="1"/>
    <col min="3" max="3" width="16" customWidth="1"/>
    <col min="4" max="4" width="12" customWidth="1"/>
    <col min="5" max="5" width="28" customWidth="1"/>
    <col min="6" max="6" width="21.140625" customWidth="1"/>
    <col min="8" max="8" width="15.5703125" customWidth="1"/>
  </cols>
  <sheetData>
    <row r="1" spans="1:8" x14ac:dyDescent="0.25">
      <c r="A1" s="3" t="s">
        <v>1200</v>
      </c>
      <c r="B1" s="3" t="s">
        <v>1210</v>
      </c>
      <c r="C1" s="3" t="s">
        <v>0</v>
      </c>
      <c r="D1" s="3" t="s">
        <v>1202</v>
      </c>
      <c r="E1" s="3" t="s">
        <v>1211</v>
      </c>
      <c r="F1" s="3" t="s">
        <v>1204</v>
      </c>
      <c r="G1" s="3" t="s">
        <v>1205</v>
      </c>
      <c r="H1" s="3" t="s">
        <v>1206</v>
      </c>
    </row>
    <row r="2" spans="1:8" x14ac:dyDescent="0.25">
      <c r="A2" s="4" t="s">
        <v>1</v>
      </c>
      <c r="B2" s="4" t="s">
        <v>16</v>
      </c>
      <c r="C2" s="12">
        <v>1892247</v>
      </c>
      <c r="D2" s="4" t="s">
        <v>29</v>
      </c>
      <c r="E2" s="11">
        <v>44882</v>
      </c>
      <c r="F2" s="4" t="s">
        <v>3</v>
      </c>
      <c r="G2" s="4"/>
      <c r="H2" s="4" t="s">
        <v>1213</v>
      </c>
    </row>
    <row r="3" spans="1:8" x14ac:dyDescent="0.25">
      <c r="A3" s="4" t="s">
        <v>14</v>
      </c>
      <c r="B3" s="4" t="s">
        <v>5</v>
      </c>
      <c r="C3" s="12">
        <v>13874508</v>
      </c>
      <c r="D3" s="4" t="s">
        <v>29</v>
      </c>
      <c r="E3" s="11">
        <v>44813</v>
      </c>
      <c r="F3" s="4" t="s">
        <v>3</v>
      </c>
      <c r="G3" s="4"/>
      <c r="H3" s="4" t="s">
        <v>1213</v>
      </c>
    </row>
    <row r="4" spans="1:8" x14ac:dyDescent="0.25">
      <c r="A4" s="4" t="s">
        <v>26</v>
      </c>
      <c r="B4" s="4" t="s">
        <v>5</v>
      </c>
      <c r="C4" s="12">
        <v>15348980</v>
      </c>
      <c r="D4" s="4" t="s">
        <v>29</v>
      </c>
      <c r="E4" s="11">
        <v>44756</v>
      </c>
      <c r="F4" s="4" t="s">
        <v>27</v>
      </c>
      <c r="G4" s="4" t="s">
        <v>19</v>
      </c>
      <c r="H4" s="4" t="s">
        <v>1213</v>
      </c>
    </row>
    <row r="5" spans="1:8" x14ac:dyDescent="0.25">
      <c r="A5" s="4" t="s">
        <v>10</v>
      </c>
      <c r="B5" s="4" t="s">
        <v>16</v>
      </c>
      <c r="C5" s="12">
        <v>2430282</v>
      </c>
      <c r="D5" s="4" t="s">
        <v>29</v>
      </c>
      <c r="E5" s="11">
        <v>44863</v>
      </c>
      <c r="F5" s="4" t="s">
        <v>3</v>
      </c>
      <c r="G5" s="4"/>
      <c r="H5" s="4" t="s">
        <v>1213</v>
      </c>
    </row>
    <row r="6" spans="1:8" x14ac:dyDescent="0.25">
      <c r="A6" s="4" t="s">
        <v>20</v>
      </c>
      <c r="B6" s="4" t="s">
        <v>5</v>
      </c>
      <c r="C6" s="12">
        <v>5140138</v>
      </c>
      <c r="D6" s="4" t="s">
        <v>29</v>
      </c>
      <c r="E6" s="11">
        <v>44746</v>
      </c>
      <c r="F6" s="4" t="s">
        <v>27</v>
      </c>
      <c r="G6" s="4"/>
      <c r="H6" s="4" t="s">
        <v>1213</v>
      </c>
    </row>
    <row r="7" spans="1:8" x14ac:dyDescent="0.25">
      <c r="A7" s="4" t="s">
        <v>8</v>
      </c>
      <c r="B7" s="4" t="s">
        <v>2</v>
      </c>
      <c r="C7" s="12">
        <v>7375713</v>
      </c>
      <c r="D7" s="4" t="s">
        <v>29</v>
      </c>
      <c r="E7" s="11">
        <v>45026</v>
      </c>
      <c r="F7" s="4" t="s">
        <v>27</v>
      </c>
      <c r="G7" s="4"/>
      <c r="H7" s="4" t="s">
        <v>1213</v>
      </c>
    </row>
    <row r="8" spans="1:8" x14ac:dyDescent="0.25">
      <c r="A8" s="4" t="s">
        <v>15</v>
      </c>
      <c r="B8" s="4" t="s">
        <v>2</v>
      </c>
      <c r="C8" s="12">
        <v>4430739</v>
      </c>
      <c r="D8" s="4" t="s">
        <v>29</v>
      </c>
      <c r="E8" s="11">
        <v>44688</v>
      </c>
      <c r="F8" s="4" t="s">
        <v>27</v>
      </c>
      <c r="G8" s="4"/>
      <c r="H8" s="4" t="s">
        <v>1213</v>
      </c>
    </row>
    <row r="9" spans="1:8" x14ac:dyDescent="0.25">
      <c r="A9" s="4" t="s">
        <v>1225</v>
      </c>
      <c r="B9" s="4" t="s">
        <v>16</v>
      </c>
      <c r="C9" s="12">
        <v>5965342</v>
      </c>
      <c r="D9" s="4" t="s">
        <v>29</v>
      </c>
      <c r="E9" s="11">
        <v>45085</v>
      </c>
      <c r="F9" s="4" t="s">
        <v>3</v>
      </c>
      <c r="G9" s="4"/>
      <c r="H9" s="4" t="s">
        <v>1213</v>
      </c>
    </row>
    <row r="10" spans="1:8" x14ac:dyDescent="0.25">
      <c r="A10" s="4" t="s">
        <v>23</v>
      </c>
      <c r="B10" s="4" t="s">
        <v>2</v>
      </c>
      <c r="C10" s="12">
        <v>5636175</v>
      </c>
      <c r="D10" s="4" t="s">
        <v>29</v>
      </c>
      <c r="E10" s="11">
        <v>44905</v>
      </c>
      <c r="F10" s="4" t="s">
        <v>30</v>
      </c>
      <c r="G10" s="4"/>
      <c r="H10" s="4" t="s">
        <v>1213</v>
      </c>
    </row>
    <row r="15" spans="1:8" x14ac:dyDescent="0.25">
      <c r="A15" s="2"/>
    </row>
    <row r="30" spans="1:1" x14ac:dyDescent="0.25">
      <c r="A30" s="2"/>
    </row>
  </sheetData>
  <phoneticPr fontId="6" type="noConversion"/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38"/>
  <sheetViews>
    <sheetView workbookViewId="0">
      <pane ySplit="1" topLeftCell="A8" activePane="bottomLeft" state="frozen"/>
      <selection pane="bottomLeft" activeCell="C28" sqref="C28"/>
    </sheetView>
  </sheetViews>
  <sheetFormatPr defaultRowHeight="15" x14ac:dyDescent="0.25"/>
  <cols>
    <col min="1" max="1" width="13.28515625" customWidth="1"/>
    <col min="2" max="2" width="28.85546875" hidden="1" customWidth="1"/>
    <col min="3" max="3" width="34" customWidth="1"/>
    <col min="4" max="4" width="17" hidden="1" customWidth="1"/>
    <col min="5" max="5" width="14" customWidth="1"/>
    <col min="6" max="7" width="17" customWidth="1"/>
    <col min="8" max="8" width="16" customWidth="1"/>
    <col min="9" max="9" width="18.5703125" hidden="1" customWidth="1"/>
    <col min="10" max="10" width="20" customWidth="1"/>
    <col min="11" max="11" width="20" style="15" customWidth="1"/>
    <col min="12" max="12" width="20" customWidth="1"/>
    <col min="13" max="13" width="12.140625" hidden="1" customWidth="1"/>
  </cols>
  <sheetData>
    <row r="1" spans="1:14" x14ac:dyDescent="0.25">
      <c r="A1" s="3" t="s">
        <v>31</v>
      </c>
      <c r="B1" s="3" t="s">
        <v>1215</v>
      </c>
      <c r="C1" s="3" t="s">
        <v>32</v>
      </c>
      <c r="D1" s="3" t="s">
        <v>1201</v>
      </c>
      <c r="E1" s="3" t="s">
        <v>33</v>
      </c>
      <c r="F1" s="3" t="s">
        <v>34</v>
      </c>
      <c r="G1" s="3" t="s">
        <v>35</v>
      </c>
      <c r="H1" s="3" t="s">
        <v>36</v>
      </c>
      <c r="I1" s="3" t="s">
        <v>1214</v>
      </c>
      <c r="J1" s="3" t="s">
        <v>37</v>
      </c>
      <c r="K1" s="3" t="s">
        <v>38</v>
      </c>
      <c r="L1" s="14" t="s">
        <v>1211</v>
      </c>
      <c r="M1" s="3" t="s">
        <v>39</v>
      </c>
      <c r="N1" s="3" t="s">
        <v>40</v>
      </c>
    </row>
    <row r="2" spans="1:14" x14ac:dyDescent="0.25">
      <c r="A2" s="4" t="str">
        <f>TRIM(Table4[[#This Row],[Account_ID2]])</f>
        <v>SF-01072</v>
      </c>
      <c r="B2" s="4" t="s">
        <v>41</v>
      </c>
      <c r="C2" s="4" t="str">
        <f>PROPER(TRIM(D2))</f>
        <v>Sunrise Textiles Mills</v>
      </c>
      <c r="D2" s="4" t="s">
        <v>42</v>
      </c>
      <c r="E2" s="4" t="s">
        <v>43</v>
      </c>
      <c r="F2" s="4" t="s">
        <v>44</v>
      </c>
      <c r="G2" s="4" t="s">
        <v>45</v>
      </c>
      <c r="H2" s="4" t="str">
        <f t="shared" ref="H2:H38" si="0">_xlfn.LET(_xlpm.clean, SUBSTITUTE(SUBSTITUTE(SUBSTITUTE(SUBSTITUTE(TRIM(I2)," ",""),"-",""),"(",""),")",""),
     _xlpm.converted, IF(LEFT(_xlpm.clean,3)="+92","0"&amp;MID(_xlpm.clean,4,20),
                 IF(LEFT(_xlpm.clean,2)="92","0"&amp;MID(_xlpm.clean,3,20),
                    _xlpm.clean)),
     IF(TRIM(I2)="","N/A",
        IF(LEN(_xlpm.converted)&gt;=10, _xlpm.converted, "N/A")))</f>
        <v>0324957885</v>
      </c>
      <c r="I2" s="4" t="s">
        <v>46</v>
      </c>
      <c r="J2" s="10">
        <v>118247990</v>
      </c>
      <c r="K2" s="4" t="s">
        <v>47</v>
      </c>
      <c r="L2" s="11">
        <f>IF(ISNUMBER(M2),M2,IFERROR(DATEVALUE(M2),IFERROR(DATE(VALUE(RIGHT(M2,4)),VALUE(MID(M2,4,2)),VALUE(LEFT(M2,2))),"")))</f>
        <v>45469</v>
      </c>
      <c r="M2" s="4" t="s">
        <v>48</v>
      </c>
      <c r="N2" s="4" t="s">
        <v>49</v>
      </c>
    </row>
    <row r="3" spans="1:14" x14ac:dyDescent="0.25">
      <c r="A3" s="4" t="str">
        <f>TRIM(Table4[[#This Row],[Account_ID2]])</f>
        <v>SF-01062</v>
      </c>
      <c r="B3" s="4" t="s">
        <v>50</v>
      </c>
      <c r="C3" s="4" t="str">
        <f t="shared" ref="C3:C38" si="1">PROPER(TRIM(D3))</f>
        <v>Faisal Steel Industries</v>
      </c>
      <c r="D3" s="4" t="s">
        <v>51</v>
      </c>
      <c r="E3" s="4" t="s">
        <v>52</v>
      </c>
      <c r="F3" s="4" t="s">
        <v>53</v>
      </c>
      <c r="G3" s="4" t="s">
        <v>45</v>
      </c>
      <c r="H3" s="4" t="str">
        <f t="shared" si="0"/>
        <v>0300531003</v>
      </c>
      <c r="I3" s="4" t="s">
        <v>54</v>
      </c>
      <c r="J3" s="10">
        <v>132120579</v>
      </c>
      <c r="K3" s="4" t="s">
        <v>55</v>
      </c>
      <c r="L3" s="11">
        <f t="shared" ref="L3:L37" si="2">IF(ISNUMBER(M3),M3,IFERROR(DATEVALUE(M3),IFERROR(DATE(VALUE(RIGHT(M3,4)),VALUE(MID(M3,4,2)),VALUE(LEFT(M3,2))),"")))</f>
        <v>45086</v>
      </c>
      <c r="M3" s="4" t="s">
        <v>56</v>
      </c>
      <c r="N3" s="4" t="s">
        <v>57</v>
      </c>
    </row>
    <row r="4" spans="1:14" x14ac:dyDescent="0.25">
      <c r="A4" s="4" t="str">
        <f>TRIM(Table4[[#This Row],[Account_ID2]])</f>
        <v>SF-01055</v>
      </c>
      <c r="B4" s="4" t="s">
        <v>58</v>
      </c>
      <c r="C4" s="4" t="str">
        <f t="shared" si="1"/>
        <v>Union Cotton Traders</v>
      </c>
      <c r="D4" s="4" t="s">
        <v>59</v>
      </c>
      <c r="E4" s="4" t="s">
        <v>60</v>
      </c>
      <c r="F4" s="4" t="s">
        <v>61</v>
      </c>
      <c r="G4" s="4" t="s">
        <v>45</v>
      </c>
      <c r="H4" s="4" t="str">
        <f t="shared" si="0"/>
        <v>0283487347</v>
      </c>
      <c r="I4" s="4" t="s">
        <v>62</v>
      </c>
      <c r="J4" s="10">
        <v>244720065</v>
      </c>
      <c r="K4" s="4" t="s">
        <v>55</v>
      </c>
      <c r="L4" s="11">
        <f t="shared" si="2"/>
        <v>44874</v>
      </c>
      <c r="M4" s="4" t="s">
        <v>63</v>
      </c>
      <c r="N4" s="4" t="s">
        <v>57</v>
      </c>
    </row>
    <row r="5" spans="1:14" x14ac:dyDescent="0.25">
      <c r="A5" s="4" t="str">
        <f>TRIM(Table4[[#This Row],[Account_ID2]])</f>
        <v>SF-01036</v>
      </c>
      <c r="B5" s="4" t="s">
        <v>64</v>
      </c>
      <c r="C5" s="4" t="str">
        <f t="shared" si="1"/>
        <v>Lahore Auto Parts Ltd</v>
      </c>
      <c r="D5" s="4" t="s">
        <v>65</v>
      </c>
      <c r="E5" s="4" t="s">
        <v>66</v>
      </c>
      <c r="F5" s="4" t="s">
        <v>67</v>
      </c>
      <c r="G5" s="4" t="s">
        <v>45</v>
      </c>
      <c r="H5" s="4" t="str">
        <f t="shared" si="0"/>
        <v>03280164005</v>
      </c>
      <c r="I5" s="4" t="s">
        <v>68</v>
      </c>
      <c r="J5" s="10">
        <v>194426163</v>
      </c>
      <c r="K5" s="4" t="s">
        <v>69</v>
      </c>
      <c r="L5" s="11">
        <f t="shared" si="2"/>
        <v>45679</v>
      </c>
      <c r="M5" s="4" t="s">
        <v>70</v>
      </c>
      <c r="N5" s="4" t="s">
        <v>71</v>
      </c>
    </row>
    <row r="6" spans="1:14" x14ac:dyDescent="0.25">
      <c r="A6" s="4" t="str">
        <f>TRIM(Table4[[#This Row],[Account_ID2]])</f>
        <v>SF-01007</v>
      </c>
      <c r="B6" s="4" t="s">
        <v>72</v>
      </c>
      <c r="C6" s="4" t="str">
        <f t="shared" si="1"/>
        <v>Crescent Steel Works</v>
      </c>
      <c r="D6" s="4" t="s">
        <v>73</v>
      </c>
      <c r="E6" s="4" t="s">
        <v>52</v>
      </c>
      <c r="F6" s="4" t="s">
        <v>53</v>
      </c>
      <c r="G6" s="4" t="s">
        <v>45</v>
      </c>
      <c r="H6" s="4" t="str">
        <f t="shared" si="0"/>
        <v>0289593103</v>
      </c>
      <c r="I6" s="4" t="s">
        <v>74</v>
      </c>
      <c r="J6" s="10">
        <v>79617971</v>
      </c>
      <c r="K6" s="4" t="s">
        <v>75</v>
      </c>
      <c r="L6" s="11">
        <f t="shared" si="2"/>
        <v>45289</v>
      </c>
      <c r="M6" s="4" t="s">
        <v>76</v>
      </c>
      <c r="N6" s="4" t="s">
        <v>71</v>
      </c>
    </row>
    <row r="7" spans="1:14" x14ac:dyDescent="0.25">
      <c r="A7" s="4" t="str">
        <f>TRIM(Table4[[#This Row],[Account_ID2]])</f>
        <v>SF-01031</v>
      </c>
      <c r="B7" s="4" t="s">
        <v>77</v>
      </c>
      <c r="C7" s="4" t="str">
        <f t="shared" si="1"/>
        <v>Al-Rehman Rice Mills</v>
      </c>
      <c r="D7" s="4" t="s">
        <v>78</v>
      </c>
      <c r="E7" s="4" t="s">
        <v>79</v>
      </c>
      <c r="F7" s="4" t="s">
        <v>80</v>
      </c>
      <c r="G7" s="4" t="s">
        <v>45</v>
      </c>
      <c r="H7" s="4" t="str">
        <f t="shared" si="0"/>
        <v>03134751079</v>
      </c>
      <c r="I7" s="4" t="s">
        <v>81</v>
      </c>
      <c r="J7" s="10">
        <v>76189194</v>
      </c>
      <c r="K7" s="4" t="s">
        <v>69</v>
      </c>
      <c r="L7" s="11">
        <f t="shared" si="2"/>
        <v>45318</v>
      </c>
      <c r="M7" s="4" t="s">
        <v>82</v>
      </c>
      <c r="N7" s="4" t="s">
        <v>57</v>
      </c>
    </row>
    <row r="8" spans="1:14" x14ac:dyDescent="0.25">
      <c r="A8" s="4" t="str">
        <f>TRIM(Table4[[#This Row],[Account_ID2]])</f>
        <v>SF-01044</v>
      </c>
      <c r="B8" s="4" t="s">
        <v>83</v>
      </c>
      <c r="C8" s="4" t="str">
        <f t="shared" si="1"/>
        <v>Highland Tea Traders</v>
      </c>
      <c r="D8" s="4" t="s">
        <v>84</v>
      </c>
      <c r="E8" s="4" t="s">
        <v>60</v>
      </c>
      <c r="F8" s="4" t="s">
        <v>85</v>
      </c>
      <c r="G8" s="4" t="s">
        <v>45</v>
      </c>
      <c r="H8" s="4" t="str">
        <f t="shared" si="0"/>
        <v>N/A</v>
      </c>
      <c r="I8" s="4"/>
      <c r="J8" s="10">
        <v>93637396</v>
      </c>
      <c r="K8" s="4" t="s">
        <v>75</v>
      </c>
      <c r="L8" s="11">
        <f t="shared" si="2"/>
        <v>45600</v>
      </c>
      <c r="M8" s="4" t="s">
        <v>86</v>
      </c>
      <c r="N8" s="4" t="s">
        <v>87</v>
      </c>
    </row>
    <row r="9" spans="1:14" x14ac:dyDescent="0.25">
      <c r="A9" s="4" t="str">
        <f>TRIM(Table4[[#This Row],[Account_ID2]])</f>
        <v>SF-01061</v>
      </c>
      <c r="B9" s="4" t="s">
        <v>88</v>
      </c>
      <c r="C9" s="4" t="str">
        <f t="shared" si="1"/>
        <v>Ravi River Mills</v>
      </c>
      <c r="D9" s="4" t="s">
        <v>89</v>
      </c>
      <c r="E9" s="4" t="s">
        <v>43</v>
      </c>
      <c r="F9" s="4" t="s">
        <v>67</v>
      </c>
      <c r="G9" s="4" t="s">
        <v>45</v>
      </c>
      <c r="H9" s="4" t="str">
        <f t="shared" si="0"/>
        <v>0310162720</v>
      </c>
      <c r="I9" s="4" t="s">
        <v>90</v>
      </c>
      <c r="J9" s="10">
        <v>95597113</v>
      </c>
      <c r="K9" s="4" t="s">
        <v>55</v>
      </c>
      <c r="L9" s="11">
        <f t="shared" si="2"/>
        <v>45078</v>
      </c>
      <c r="M9" s="4" t="s">
        <v>91</v>
      </c>
      <c r="N9" s="4" t="s">
        <v>87</v>
      </c>
    </row>
    <row r="10" spans="1:14" x14ac:dyDescent="0.25">
      <c r="A10" s="4" t="str">
        <f>TRIM(Table4[[#This Row],[Account_ID2]])</f>
        <v>SF-01069</v>
      </c>
      <c r="B10" s="4" t="s">
        <v>92</v>
      </c>
      <c r="C10" s="4" t="str">
        <f t="shared" si="1"/>
        <v>Bright Future Foods</v>
      </c>
      <c r="D10" s="4" t="s">
        <v>93</v>
      </c>
      <c r="E10" s="4" t="s">
        <v>94</v>
      </c>
      <c r="F10" s="4" t="s">
        <v>53</v>
      </c>
      <c r="G10" s="4" t="s">
        <v>45</v>
      </c>
      <c r="H10" s="4" t="str">
        <f t="shared" si="0"/>
        <v>0484987769</v>
      </c>
      <c r="I10" s="4" t="s">
        <v>95</v>
      </c>
      <c r="J10" s="10">
        <v>241661069</v>
      </c>
      <c r="K10" s="4" t="s">
        <v>96</v>
      </c>
      <c r="L10" s="11">
        <f t="shared" si="2"/>
        <v>45338</v>
      </c>
      <c r="M10" s="4" t="s">
        <v>97</v>
      </c>
      <c r="N10" s="4" t="s">
        <v>49</v>
      </c>
    </row>
    <row r="11" spans="1:14" x14ac:dyDescent="0.25">
      <c r="A11" s="4" t="str">
        <f>TRIM(Table4[[#This Row],[Account_ID2]])</f>
        <v>SF-01023</v>
      </c>
      <c r="B11" s="4" t="s">
        <v>98</v>
      </c>
      <c r="C11" s="4" t="str">
        <f t="shared" si="1"/>
        <v>Sunrise Textiles Mills</v>
      </c>
      <c r="D11" s="4" t="s">
        <v>99</v>
      </c>
      <c r="E11" s="4" t="s">
        <v>43</v>
      </c>
      <c r="F11" s="4" t="s">
        <v>44</v>
      </c>
      <c r="G11" s="4" t="s">
        <v>45</v>
      </c>
      <c r="H11" s="4" t="str">
        <f t="shared" si="0"/>
        <v>0317010651</v>
      </c>
      <c r="I11" s="4" t="s">
        <v>100</v>
      </c>
      <c r="J11" s="10">
        <v>118247990</v>
      </c>
      <c r="K11" s="4" t="s">
        <v>47</v>
      </c>
      <c r="L11" s="11">
        <f t="shared" si="2"/>
        <v>45469</v>
      </c>
      <c r="M11" s="4" t="s">
        <v>48</v>
      </c>
      <c r="N11" s="4" t="s">
        <v>49</v>
      </c>
    </row>
    <row r="12" spans="1:14" x14ac:dyDescent="0.25">
      <c r="A12" s="4" t="str">
        <f>TRIM(Table4[[#This Row],[Account_ID2]])</f>
        <v>SF-01065</v>
      </c>
      <c r="B12" s="4" t="s">
        <v>101</v>
      </c>
      <c r="C12" s="4" t="str">
        <f t="shared" si="1"/>
        <v>Apex Consulting Grp</v>
      </c>
      <c r="D12" s="4" t="s">
        <v>102</v>
      </c>
      <c r="E12" s="4" t="s">
        <v>103</v>
      </c>
      <c r="F12" s="4" t="s">
        <v>67</v>
      </c>
      <c r="G12" s="4" t="s">
        <v>45</v>
      </c>
      <c r="H12" s="4" t="str">
        <f t="shared" si="0"/>
        <v>0331241904</v>
      </c>
      <c r="I12" s="4" t="s">
        <v>104</v>
      </c>
      <c r="J12" s="10">
        <v>25400148</v>
      </c>
      <c r="K12" s="4" t="s">
        <v>47</v>
      </c>
      <c r="L12" s="11">
        <f t="shared" si="2"/>
        <v>45179</v>
      </c>
      <c r="M12" s="4" t="s">
        <v>105</v>
      </c>
      <c r="N12" s="4" t="s">
        <v>112</v>
      </c>
    </row>
    <row r="13" spans="1:14" x14ac:dyDescent="0.25">
      <c r="A13" s="4" t="str">
        <f>TRIM(Table4[[#This Row],[Account_ID2]])</f>
        <v>SF-01043</v>
      </c>
      <c r="B13" s="4" t="s">
        <v>106</v>
      </c>
      <c r="C13" s="4" t="str">
        <f t="shared" si="1"/>
        <v>Green Fields Agriculture</v>
      </c>
      <c r="D13" s="4" t="s">
        <v>107</v>
      </c>
      <c r="E13" s="4" t="s">
        <v>79</v>
      </c>
      <c r="F13" s="4" t="s">
        <v>61</v>
      </c>
      <c r="G13" s="4" t="s">
        <v>45</v>
      </c>
      <c r="H13" s="4" t="str">
        <f t="shared" si="0"/>
        <v>0304586850</v>
      </c>
      <c r="I13" s="4" t="s">
        <v>108</v>
      </c>
      <c r="J13" s="10">
        <v>34099087</v>
      </c>
      <c r="K13" s="4" t="s">
        <v>75</v>
      </c>
      <c r="L13" s="11">
        <f t="shared" si="2"/>
        <v>45455</v>
      </c>
      <c r="M13" s="4" t="s">
        <v>109</v>
      </c>
      <c r="N13" s="4" t="s">
        <v>112</v>
      </c>
    </row>
    <row r="14" spans="1:14" x14ac:dyDescent="0.25">
      <c r="A14" s="4" t="str">
        <f>TRIM(Table4[[#This Row],[Account_ID2]])</f>
        <v>SF-01066</v>
      </c>
      <c r="B14" s="4" t="s">
        <v>110</v>
      </c>
      <c r="C14" s="4" t="str">
        <f t="shared" si="1"/>
        <v>Northern Textiles Ventures</v>
      </c>
      <c r="D14" s="4" t="s">
        <v>111</v>
      </c>
      <c r="E14" s="4" t="s">
        <v>43</v>
      </c>
      <c r="F14" s="4" t="s">
        <v>44</v>
      </c>
      <c r="G14" s="4" t="s">
        <v>45</v>
      </c>
      <c r="H14" s="4" t="str">
        <f t="shared" si="0"/>
        <v>N/A</v>
      </c>
      <c r="I14" s="4" t="s">
        <v>112</v>
      </c>
      <c r="J14" s="10">
        <v>136587518</v>
      </c>
      <c r="K14" s="4" t="s">
        <v>55</v>
      </c>
      <c r="L14" s="11">
        <f t="shared" si="2"/>
        <v>44875</v>
      </c>
      <c r="M14" s="5" t="s">
        <v>113</v>
      </c>
      <c r="N14" s="4" t="s">
        <v>57</v>
      </c>
    </row>
    <row r="15" spans="1:14" x14ac:dyDescent="0.25">
      <c r="A15" s="4" t="str">
        <f>TRIM(Table4[[#This Row],[Account_ID2]])</f>
        <v>SF-01056</v>
      </c>
      <c r="B15" s="4" t="s">
        <v>114</v>
      </c>
      <c r="C15" s="4" t="str">
        <f t="shared" si="1"/>
        <v>Delta Chemical Industries</v>
      </c>
      <c r="D15" s="4" t="s">
        <v>115</v>
      </c>
      <c r="E15" s="4" t="s">
        <v>52</v>
      </c>
      <c r="F15" s="4" t="s">
        <v>53</v>
      </c>
      <c r="G15" s="4" t="s">
        <v>45</v>
      </c>
      <c r="H15" s="4" t="str">
        <f t="shared" si="0"/>
        <v>N/A</v>
      </c>
      <c r="I15" s="4" t="s">
        <v>112</v>
      </c>
      <c r="J15" s="10">
        <v>241399474</v>
      </c>
      <c r="K15" s="4" t="s">
        <v>75</v>
      </c>
      <c r="L15" s="11">
        <f t="shared" si="2"/>
        <v>45173</v>
      </c>
      <c r="M15" s="5" t="s">
        <v>116</v>
      </c>
      <c r="N15" s="4" t="s">
        <v>87</v>
      </c>
    </row>
    <row r="16" spans="1:14" x14ac:dyDescent="0.25">
      <c r="A16" s="4" t="str">
        <f>TRIM(Table4[[#This Row],[Account_ID2]])</f>
        <v>SF-01030</v>
      </c>
      <c r="B16" s="4" t="s">
        <v>117</v>
      </c>
      <c r="C16" s="4" t="str">
        <f t="shared" si="1"/>
        <v>Indus Valley Agro</v>
      </c>
      <c r="D16" s="4" t="s">
        <v>118</v>
      </c>
      <c r="E16" s="4" t="s">
        <v>79</v>
      </c>
      <c r="F16" s="4" t="s">
        <v>61</v>
      </c>
      <c r="G16" s="4" t="s">
        <v>45</v>
      </c>
      <c r="H16" s="4" t="str">
        <f t="shared" si="0"/>
        <v>03423619399</v>
      </c>
      <c r="I16" s="4" t="s">
        <v>119</v>
      </c>
      <c r="J16" s="10">
        <v>156726947</v>
      </c>
      <c r="K16" s="4" t="s">
        <v>75</v>
      </c>
      <c r="L16" s="11">
        <f t="shared" si="2"/>
        <v>45050</v>
      </c>
      <c r="M16" s="5" t="s">
        <v>120</v>
      </c>
      <c r="N16" s="4" t="s">
        <v>87</v>
      </c>
    </row>
    <row r="17" spans="1:14" x14ac:dyDescent="0.25">
      <c r="A17" s="4" t="str">
        <f>TRIM(Table4[[#This Row],[Account_ID2]])</f>
        <v>SF-01010</v>
      </c>
      <c r="B17" s="4" t="s">
        <v>121</v>
      </c>
      <c r="C17" s="4" t="str">
        <f t="shared" si="1"/>
        <v>Blue Ocean Logistics Ltd</v>
      </c>
      <c r="D17" s="4" t="s">
        <v>122</v>
      </c>
      <c r="E17" s="4" t="s">
        <v>123</v>
      </c>
      <c r="F17" s="4" t="s">
        <v>53</v>
      </c>
      <c r="G17" s="4" t="s">
        <v>45</v>
      </c>
      <c r="H17" s="4" t="str">
        <f t="shared" si="0"/>
        <v>03441928327</v>
      </c>
      <c r="I17" s="4" t="s">
        <v>124</v>
      </c>
      <c r="J17" s="10">
        <v>63952498</v>
      </c>
      <c r="K17" s="4" t="s">
        <v>47</v>
      </c>
      <c r="L17" s="11">
        <f t="shared" si="2"/>
        <v>45031</v>
      </c>
      <c r="M17" s="5" t="s">
        <v>125</v>
      </c>
      <c r="N17" s="4" t="s">
        <v>71</v>
      </c>
    </row>
    <row r="18" spans="1:14" x14ac:dyDescent="0.25">
      <c r="A18" s="4" t="str">
        <f>TRIM(Table4[[#This Row],[Account_ID2]])</f>
        <v>SF-01033</v>
      </c>
      <c r="B18" s="4" t="s">
        <v>126</v>
      </c>
      <c r="C18" s="4" t="str">
        <f t="shared" si="1"/>
        <v>Karachi Electronics Co</v>
      </c>
      <c r="D18" s="4" t="s">
        <v>127</v>
      </c>
      <c r="E18" s="4" t="s">
        <v>128</v>
      </c>
      <c r="F18" s="4" t="s">
        <v>53</v>
      </c>
      <c r="G18" s="4" t="s">
        <v>45</v>
      </c>
      <c r="H18" s="4" t="str">
        <f t="shared" si="0"/>
        <v>N/A</v>
      </c>
      <c r="I18" s="4"/>
      <c r="J18" s="10">
        <v>153504841</v>
      </c>
      <c r="K18" s="4" t="s">
        <v>75</v>
      </c>
      <c r="L18" s="11">
        <f t="shared" si="2"/>
        <v>44978</v>
      </c>
      <c r="M18" s="5">
        <v>44978</v>
      </c>
      <c r="N18" s="4" t="s">
        <v>71</v>
      </c>
    </row>
    <row r="19" spans="1:14" x14ac:dyDescent="0.25">
      <c r="A19" s="4" t="str">
        <f>TRIM(Table4[[#This Row],[Account_ID2]])</f>
        <v>SF-01051</v>
      </c>
      <c r="B19" s="4" t="s">
        <v>130</v>
      </c>
      <c r="C19" s="4" t="str">
        <f t="shared" si="1"/>
        <v>Millennium Plastics Ltd</v>
      </c>
      <c r="D19" s="4" t="s">
        <v>131</v>
      </c>
      <c r="E19" s="4" t="s">
        <v>52</v>
      </c>
      <c r="F19" s="4" t="s">
        <v>53</v>
      </c>
      <c r="G19" s="4" t="s">
        <v>45</v>
      </c>
      <c r="H19" s="4" t="str">
        <f t="shared" si="0"/>
        <v>0331769367</v>
      </c>
      <c r="I19" s="4" t="s">
        <v>132</v>
      </c>
      <c r="J19" s="10">
        <v>244621546</v>
      </c>
      <c r="K19" s="4" t="s">
        <v>55</v>
      </c>
      <c r="L19" s="11">
        <f t="shared" si="2"/>
        <v>45010</v>
      </c>
      <c r="M19" s="5" t="s">
        <v>133</v>
      </c>
      <c r="N19" s="4" t="s">
        <v>112</v>
      </c>
    </row>
    <row r="20" spans="1:14" x14ac:dyDescent="0.25">
      <c r="A20" s="4" t="str">
        <f>TRIM(Table4[[#This Row],[Account_ID2]])</f>
        <v>SF-01059</v>
      </c>
      <c r="B20" s="4" t="s">
        <v>134</v>
      </c>
      <c r="C20" s="4" t="str">
        <f t="shared" si="1"/>
        <v>Everest Trading Co</v>
      </c>
      <c r="D20" s="4" t="s">
        <v>135</v>
      </c>
      <c r="E20" s="4" t="s">
        <v>60</v>
      </c>
      <c r="F20" s="4" t="s">
        <v>67</v>
      </c>
      <c r="G20" s="4" t="s">
        <v>45</v>
      </c>
      <c r="H20" s="4" t="str">
        <f>_xlfn.LET(_xlpm.clean, SUBSTITUTE(SUBSTITUTE(SUBSTITUTE(SUBSTITUTE(TRIM(I20)," ",""),"-",""),"(",""),")",""),
     _xlpm.converted, IF(LEFT(_xlpm.clean,3)="+92","0"&amp;MID(_xlpm.clean,4,20),
                 IF(LEFT(_xlpm.clean,2)="92","0"&amp;MID(_xlpm.clean,3,20),
                    _xlpm.clean)),
     IF(TRIM(I20)="","N/A",
        IF(LEN(_xlpm.converted)&gt;=10, _xlpm.converted, "N/A")))</f>
        <v>N/A</v>
      </c>
      <c r="I20" s="4"/>
      <c r="J20" s="10">
        <v>219249699</v>
      </c>
      <c r="K20" s="4" t="s">
        <v>69</v>
      </c>
      <c r="L20" s="11">
        <f t="shared" si="2"/>
        <v>45836</v>
      </c>
      <c r="M20" s="5" t="s">
        <v>136</v>
      </c>
      <c r="N20" s="4" t="s">
        <v>49</v>
      </c>
    </row>
    <row r="21" spans="1:14" x14ac:dyDescent="0.25">
      <c r="A21" s="4" t="str">
        <f>TRIM(Table4[[#This Row],[Account_ID2]])</f>
        <v>SF-01053</v>
      </c>
      <c r="B21" s="4" t="s">
        <v>137</v>
      </c>
      <c r="C21" s="4" t="str">
        <f t="shared" si="1"/>
        <v>Skyline Real Estate Developers</v>
      </c>
      <c r="D21" s="4" t="s">
        <v>138</v>
      </c>
      <c r="E21" s="4" t="s">
        <v>139</v>
      </c>
      <c r="F21" s="4" t="s">
        <v>140</v>
      </c>
      <c r="G21" s="4" t="s">
        <v>45</v>
      </c>
      <c r="H21" s="4" t="str">
        <f t="shared" si="0"/>
        <v>03283172788</v>
      </c>
      <c r="I21" s="4" t="s">
        <v>141</v>
      </c>
      <c r="J21" s="10">
        <v>223776643</v>
      </c>
      <c r="K21" s="4" t="s">
        <v>96</v>
      </c>
      <c r="L21" s="11">
        <f t="shared" si="2"/>
        <v>45329</v>
      </c>
      <c r="M21" s="5" t="s">
        <v>142</v>
      </c>
      <c r="N21" s="4" t="s">
        <v>87</v>
      </c>
    </row>
    <row r="22" spans="1:14" x14ac:dyDescent="0.25">
      <c r="A22" s="4" t="str">
        <f>TRIM(Table4[[#This Row],[Account_ID2]])</f>
        <v>SF-01046</v>
      </c>
      <c r="B22" s="4" t="s">
        <v>143</v>
      </c>
      <c r="C22" s="4" t="str">
        <f t="shared" si="1"/>
        <v>Metro Pharma Distributors</v>
      </c>
      <c r="D22" s="4" t="s">
        <v>144</v>
      </c>
      <c r="E22" s="4" t="s">
        <v>145</v>
      </c>
      <c r="F22" s="4" t="s">
        <v>67</v>
      </c>
      <c r="G22" s="4" t="s">
        <v>45</v>
      </c>
      <c r="H22" s="4" t="str">
        <f t="shared" si="0"/>
        <v>N/A</v>
      </c>
      <c r="I22" s="4" t="s">
        <v>112</v>
      </c>
      <c r="J22" s="10">
        <v>5108968</v>
      </c>
      <c r="K22" s="4" t="s">
        <v>96</v>
      </c>
      <c r="L22" s="11">
        <f t="shared" si="2"/>
        <v>45804</v>
      </c>
      <c r="M22" s="5" t="s">
        <v>146</v>
      </c>
      <c r="N22" s="4" t="s">
        <v>71</v>
      </c>
    </row>
    <row r="23" spans="1:14" x14ac:dyDescent="0.25">
      <c r="A23" s="4" t="str">
        <f>TRIM(Table4[[#This Row],[Account_ID2]])</f>
        <v>SF-01006</v>
      </c>
      <c r="B23" s="4" t="s">
        <v>147</v>
      </c>
      <c r="C23" s="4" t="str">
        <f t="shared" si="1"/>
        <v>Zenith Apparel Mfg.</v>
      </c>
      <c r="D23" s="4" t="s">
        <v>148</v>
      </c>
      <c r="E23" s="4" t="s">
        <v>43</v>
      </c>
      <c r="F23" s="4" t="s">
        <v>67</v>
      </c>
      <c r="G23" s="4" t="s">
        <v>45</v>
      </c>
      <c r="H23" s="4" t="str">
        <f t="shared" si="0"/>
        <v>0230265423</v>
      </c>
      <c r="I23" s="4" t="s">
        <v>149</v>
      </c>
      <c r="J23" s="10">
        <v>232497537</v>
      </c>
      <c r="K23" s="4" t="s">
        <v>55</v>
      </c>
      <c r="L23" s="11">
        <f t="shared" si="2"/>
        <v>45660</v>
      </c>
      <c r="M23" s="5" t="s">
        <v>150</v>
      </c>
      <c r="N23" s="4" t="s">
        <v>87</v>
      </c>
    </row>
    <row r="24" spans="1:14" x14ac:dyDescent="0.25">
      <c r="A24" s="4" t="str">
        <f>TRIM(Table4[[#This Row],[Account_ID2]])</f>
        <v>SF-01020</v>
      </c>
      <c r="B24" s="4" t="s">
        <v>151</v>
      </c>
      <c r="C24" s="4" t="str">
        <f t="shared" si="1"/>
        <v>Horizon Pharmaceuticals</v>
      </c>
      <c r="D24" s="4" t="s">
        <v>152</v>
      </c>
      <c r="E24" s="4" t="s">
        <v>145</v>
      </c>
      <c r="F24" s="4" t="s">
        <v>53</v>
      </c>
      <c r="G24" s="4" t="s">
        <v>45</v>
      </c>
      <c r="H24" s="4" t="str">
        <f t="shared" si="0"/>
        <v>0288346578</v>
      </c>
      <c r="I24" s="4" t="s">
        <v>153</v>
      </c>
      <c r="J24" s="10">
        <v>10646341</v>
      </c>
      <c r="K24" s="4" t="s">
        <v>47</v>
      </c>
      <c r="L24" s="11">
        <f t="shared" si="2"/>
        <v>44707</v>
      </c>
      <c r="M24" s="5" t="s">
        <v>154</v>
      </c>
      <c r="N24" s="4" t="s">
        <v>49</v>
      </c>
    </row>
    <row r="25" spans="1:14" x14ac:dyDescent="0.25">
      <c r="A25" s="4" t="str">
        <f>TRIM(Table4[[#This Row],[Account_ID2]])</f>
        <v>SF-01012</v>
      </c>
      <c r="B25" s="4" t="s">
        <v>155</v>
      </c>
      <c r="C25" s="4" t="str">
        <f t="shared" si="1"/>
        <v>Prime Motors Ltd</v>
      </c>
      <c r="D25" s="4" t="s">
        <v>156</v>
      </c>
      <c r="E25" s="4" t="s">
        <v>66</v>
      </c>
      <c r="F25" s="4" t="s">
        <v>67</v>
      </c>
      <c r="G25" s="4" t="s">
        <v>45</v>
      </c>
      <c r="H25" s="4" t="str">
        <f t="shared" si="0"/>
        <v>03473953767</v>
      </c>
      <c r="I25" s="4" t="s">
        <v>157</v>
      </c>
      <c r="J25" s="10">
        <v>149680614</v>
      </c>
      <c r="K25" s="4" t="s">
        <v>55</v>
      </c>
      <c r="L25" s="11">
        <f t="shared" si="2"/>
        <v>45627</v>
      </c>
      <c r="M25" s="5" t="s">
        <v>158</v>
      </c>
      <c r="N25" s="4" t="s">
        <v>57</v>
      </c>
    </row>
    <row r="26" spans="1:14" x14ac:dyDescent="0.25">
      <c r="A26" s="4" t="str">
        <f>TRIM(Table4[[#This Row],[Account_ID2]])</f>
        <v>SF-01073</v>
      </c>
      <c r="B26" s="4" t="s">
        <v>159</v>
      </c>
      <c r="C26" s="4" t="str">
        <f t="shared" si="1"/>
        <v>Falcon Foods Processing.</v>
      </c>
      <c r="D26" s="4" t="s">
        <v>160</v>
      </c>
      <c r="E26" s="4" t="s">
        <v>94</v>
      </c>
      <c r="F26" s="4" t="s">
        <v>61</v>
      </c>
      <c r="G26" s="4" t="s">
        <v>45</v>
      </c>
      <c r="H26" s="4" t="str">
        <f t="shared" si="0"/>
        <v>0274431351</v>
      </c>
      <c r="I26" s="4" t="s">
        <v>161</v>
      </c>
      <c r="J26" s="10">
        <v>153505445</v>
      </c>
      <c r="K26" s="4" t="s">
        <v>47</v>
      </c>
      <c r="L26" s="11">
        <f t="shared" si="2"/>
        <v>45661</v>
      </c>
      <c r="M26" s="5" t="s">
        <v>162</v>
      </c>
      <c r="N26" s="4" t="s">
        <v>71</v>
      </c>
    </row>
    <row r="27" spans="1:14" x14ac:dyDescent="0.25">
      <c r="A27" s="4" t="str">
        <f>TRIM(Table4[[#This Row],[Account_ID2]])</f>
        <v>SF-01048</v>
      </c>
      <c r="B27" s="4" t="s">
        <v>163</v>
      </c>
      <c r="C27" s="4" t="str">
        <f t="shared" si="1"/>
        <v>Al Fateh Engineering</v>
      </c>
      <c r="D27" s="4" t="s">
        <v>164</v>
      </c>
      <c r="E27" s="4" t="s">
        <v>52</v>
      </c>
      <c r="F27" s="4" t="s">
        <v>140</v>
      </c>
      <c r="G27" s="4" t="s">
        <v>45</v>
      </c>
      <c r="H27" s="4" t="str">
        <f t="shared" si="0"/>
        <v>0323872148</v>
      </c>
      <c r="I27" s="4" t="s">
        <v>165</v>
      </c>
      <c r="J27" s="10">
        <v>185602212</v>
      </c>
      <c r="K27" s="4" t="s">
        <v>47</v>
      </c>
      <c r="L27" s="11">
        <f t="shared" si="2"/>
        <v>44685</v>
      </c>
      <c r="M27" s="5" t="s">
        <v>166</v>
      </c>
      <c r="N27" s="4" t="s">
        <v>87</v>
      </c>
    </row>
    <row r="28" spans="1:14" x14ac:dyDescent="0.25">
      <c r="A28" s="4" t="str">
        <f>TRIM(Table4[[#This Row],[Account_ID2]])</f>
        <v>SF-01003</v>
      </c>
      <c r="B28" s="4" t="s">
        <v>167</v>
      </c>
      <c r="C28" s="4" t="str">
        <f t="shared" si="1"/>
        <v>Al Habib Textiles Pvt Ltd</v>
      </c>
      <c r="D28" s="4" t="s">
        <v>168</v>
      </c>
      <c r="E28" s="4" t="s">
        <v>43</v>
      </c>
      <c r="F28" s="4" t="s">
        <v>53</v>
      </c>
      <c r="G28" s="4" t="s">
        <v>45</v>
      </c>
      <c r="H28" s="4" t="str">
        <f t="shared" si="0"/>
        <v>0334332181</v>
      </c>
      <c r="I28" s="4" t="s">
        <v>169</v>
      </c>
      <c r="J28" s="10">
        <v>67454433</v>
      </c>
      <c r="K28" s="4" t="s">
        <v>96</v>
      </c>
      <c r="L28" s="11">
        <f t="shared" si="2"/>
        <v>45540</v>
      </c>
      <c r="M28" s="5" t="s">
        <v>170</v>
      </c>
      <c r="N28" s="4" t="s">
        <v>87</v>
      </c>
    </row>
    <row r="29" spans="1:14" x14ac:dyDescent="0.25">
      <c r="A29" s="4" t="str">
        <f>TRIM(Table4[[#This Row],[Account_ID2]])</f>
        <v>SF-01021</v>
      </c>
      <c r="B29" s="4" t="s">
        <v>171</v>
      </c>
      <c r="C29" s="4" t="str">
        <f t="shared" si="1"/>
        <v>Metro Retail Group</v>
      </c>
      <c r="D29" s="4" t="s">
        <v>172</v>
      </c>
      <c r="E29" s="4" t="s">
        <v>173</v>
      </c>
      <c r="F29" s="4" t="s">
        <v>67</v>
      </c>
      <c r="G29" s="4" t="s">
        <v>45</v>
      </c>
      <c r="H29" s="4" t="str">
        <f t="shared" si="0"/>
        <v>03360518347</v>
      </c>
      <c r="I29" s="4" t="s">
        <v>174</v>
      </c>
      <c r="J29" s="10">
        <v>131881663</v>
      </c>
      <c r="K29" s="4" t="s">
        <v>69</v>
      </c>
      <c r="L29" s="11">
        <f t="shared" si="2"/>
        <v>44755</v>
      </c>
      <c r="M29" s="5" t="s">
        <v>175</v>
      </c>
      <c r="N29" s="4" t="s">
        <v>87</v>
      </c>
    </row>
    <row r="30" spans="1:14" x14ac:dyDescent="0.25">
      <c r="A30" s="4" t="str">
        <f>TRIM(Table4[[#This Row],[Account_ID2]])</f>
        <v>SF-01015</v>
      </c>
      <c r="B30" s="4" t="s">
        <v>176</v>
      </c>
      <c r="C30" s="4" t="str">
        <f t="shared" si="1"/>
        <v>Falcon Foods Processing</v>
      </c>
      <c r="D30" s="4" t="s">
        <v>177</v>
      </c>
      <c r="E30" s="4" t="s">
        <v>94</v>
      </c>
      <c r="F30" s="4" t="s">
        <v>61</v>
      </c>
      <c r="G30" s="4" t="s">
        <v>45</v>
      </c>
      <c r="H30" s="4" t="str">
        <f t="shared" si="0"/>
        <v>0400122691</v>
      </c>
      <c r="I30" s="4" t="s">
        <v>178</v>
      </c>
      <c r="J30" s="10">
        <v>153505445</v>
      </c>
      <c r="K30" s="4" t="s">
        <v>47</v>
      </c>
      <c r="L30" s="11">
        <f t="shared" si="2"/>
        <v>45661</v>
      </c>
      <c r="M30" s="5" t="s">
        <v>162</v>
      </c>
      <c r="N30" s="4" t="s">
        <v>71</v>
      </c>
    </row>
    <row r="31" spans="1:14" x14ac:dyDescent="0.25">
      <c r="A31" s="4" t="str">
        <f>TRIM(Table4[[#This Row],[Account_ID2]])</f>
        <v>SF-01024</v>
      </c>
      <c r="B31" s="4" t="s">
        <v>179</v>
      </c>
      <c r="C31" s="4" t="str">
        <f t="shared" si="1"/>
        <v>Pearl Continental Exports</v>
      </c>
      <c r="D31" s="4" t="s">
        <v>180</v>
      </c>
      <c r="E31" s="4" t="s">
        <v>60</v>
      </c>
      <c r="F31" s="4" t="s">
        <v>53</v>
      </c>
      <c r="G31" s="4" t="s">
        <v>45</v>
      </c>
      <c r="H31" s="4" t="str">
        <f t="shared" si="0"/>
        <v>0318013267</v>
      </c>
      <c r="I31" s="4" t="s">
        <v>181</v>
      </c>
      <c r="J31" s="10">
        <v>106729822</v>
      </c>
      <c r="K31" s="4" t="s">
        <v>55</v>
      </c>
      <c r="L31" s="11">
        <f t="shared" si="2"/>
        <v>45146</v>
      </c>
      <c r="M31" s="5" t="s">
        <v>182</v>
      </c>
      <c r="N31" s="4" t="s">
        <v>112</v>
      </c>
    </row>
    <row r="32" spans="1:14" x14ac:dyDescent="0.25">
      <c r="A32" s="4" t="str">
        <f>TRIM(Table4[[#This Row],[Account_ID2]])</f>
        <v>SF-01018</v>
      </c>
      <c r="B32" s="4" t="s">
        <v>183</v>
      </c>
      <c r="C32" s="4" t="str">
        <f t="shared" si="1"/>
        <v>National Grain Traders</v>
      </c>
      <c r="D32" s="4" t="s">
        <v>184</v>
      </c>
      <c r="E32" s="4" t="s">
        <v>79</v>
      </c>
      <c r="F32" s="4" t="s">
        <v>44</v>
      </c>
      <c r="G32" s="4" t="s">
        <v>45</v>
      </c>
      <c r="H32" s="4" t="str">
        <f t="shared" si="0"/>
        <v>03485430391</v>
      </c>
      <c r="I32" s="4" t="s">
        <v>185</v>
      </c>
      <c r="J32" s="10">
        <v>210577115</v>
      </c>
      <c r="K32" s="4" t="s">
        <v>69</v>
      </c>
      <c r="L32" s="11">
        <f t="shared" si="2"/>
        <v>45104</v>
      </c>
      <c r="M32" s="5" t="s">
        <v>186</v>
      </c>
      <c r="N32" s="4" t="s">
        <v>112</v>
      </c>
    </row>
    <row r="33" spans="1:14" x14ac:dyDescent="0.25">
      <c r="A33" s="4" t="str">
        <f>TRIM(Table4[[#This Row],[Account_ID2]])</f>
        <v>SF-01071</v>
      </c>
      <c r="B33" s="4" t="s">
        <v>187</v>
      </c>
      <c r="C33" s="4" t="str">
        <f t="shared" si="1"/>
        <v>Everest Trading Co</v>
      </c>
      <c r="D33" s="4" t="s">
        <v>188</v>
      </c>
      <c r="E33" s="4" t="s">
        <v>60</v>
      </c>
      <c r="F33" s="4" t="s">
        <v>67</v>
      </c>
      <c r="G33" s="4" t="s">
        <v>45</v>
      </c>
      <c r="H33" s="4" t="str">
        <f t="shared" si="0"/>
        <v>N/A</v>
      </c>
      <c r="I33" s="4"/>
      <c r="J33" s="10">
        <v>219249699</v>
      </c>
      <c r="K33" s="4" t="s">
        <v>69</v>
      </c>
      <c r="L33" s="11">
        <f t="shared" si="2"/>
        <v>45836</v>
      </c>
      <c r="M33" s="5" t="s">
        <v>136</v>
      </c>
      <c r="N33" s="4" t="s">
        <v>49</v>
      </c>
    </row>
    <row r="34" spans="1:14" x14ac:dyDescent="0.25">
      <c r="A34" s="4" t="str">
        <f>TRIM(Table4[[#This Row],[Account_ID2]])</f>
        <v>SF-01027</v>
      </c>
      <c r="B34" s="4" t="s">
        <v>189</v>
      </c>
      <c r="C34" s="4" t="str">
        <f t="shared" si="1"/>
        <v>Gulf Star Trading Co</v>
      </c>
      <c r="D34" s="4" t="s">
        <v>190</v>
      </c>
      <c r="E34" s="4" t="s">
        <v>60</v>
      </c>
      <c r="F34" s="4" t="s">
        <v>53</v>
      </c>
      <c r="G34" s="4" t="s">
        <v>45</v>
      </c>
      <c r="H34" s="4" t="str">
        <f t="shared" si="0"/>
        <v>0222343098</v>
      </c>
      <c r="I34" s="4" t="s">
        <v>191</v>
      </c>
      <c r="J34" s="10">
        <v>139982870</v>
      </c>
      <c r="K34" s="4" t="s">
        <v>96</v>
      </c>
      <c r="L34" s="11">
        <f t="shared" si="2"/>
        <v>44726</v>
      </c>
      <c r="M34" s="5" t="s">
        <v>192</v>
      </c>
      <c r="N34" s="4" t="s">
        <v>49</v>
      </c>
    </row>
    <row r="35" spans="1:14" x14ac:dyDescent="0.25">
      <c r="A35" s="4" t="str">
        <f>TRIM(Table4[[#This Row],[Account_ID2]])</f>
        <v>SF-01016</v>
      </c>
      <c r="B35" s="4" t="s">
        <v>193</v>
      </c>
      <c r="C35" s="4" t="str">
        <f t="shared" si="1"/>
        <v>Silver Line Construction Co.</v>
      </c>
      <c r="D35" s="4" t="s">
        <v>194</v>
      </c>
      <c r="E35" s="4" t="s">
        <v>195</v>
      </c>
      <c r="F35" s="4" t="s">
        <v>140</v>
      </c>
      <c r="G35" s="4" t="s">
        <v>45</v>
      </c>
      <c r="H35" s="4" t="str">
        <f t="shared" si="0"/>
        <v>03322704828</v>
      </c>
      <c r="I35" s="4" t="s">
        <v>196</v>
      </c>
      <c r="J35" s="10">
        <v>58394792</v>
      </c>
      <c r="K35" s="4" t="s">
        <v>96</v>
      </c>
      <c r="L35" s="11">
        <f t="shared" si="2"/>
        <v>44563</v>
      </c>
      <c r="M35" s="5" t="s">
        <v>197</v>
      </c>
      <c r="N35" s="4" t="s">
        <v>71</v>
      </c>
    </row>
    <row r="36" spans="1:14" x14ac:dyDescent="0.25">
      <c r="A36" s="4" t="str">
        <f>TRIM(Table4[[#This Row],[Account_ID2]])</f>
        <v>SF-01041</v>
      </c>
      <c r="B36" s="4" t="s">
        <v>198</v>
      </c>
      <c r="C36" s="4" t="str">
        <f t="shared" si="1"/>
        <v>Coastal Shipping Services</v>
      </c>
      <c r="D36" s="4" t="s">
        <v>199</v>
      </c>
      <c r="E36" s="4" t="s">
        <v>123</v>
      </c>
      <c r="F36" s="4" t="s">
        <v>53</v>
      </c>
      <c r="G36" s="4" t="s">
        <v>45</v>
      </c>
      <c r="H36" s="4" t="str">
        <f t="shared" si="0"/>
        <v>0285634216</v>
      </c>
      <c r="I36" s="4" t="s">
        <v>200</v>
      </c>
      <c r="J36" s="10">
        <v>86924049</v>
      </c>
      <c r="K36" s="4" t="s">
        <v>47</v>
      </c>
      <c r="L36" s="11">
        <f t="shared" si="2"/>
        <v>44957</v>
      </c>
      <c r="M36" s="5" t="s">
        <v>201</v>
      </c>
      <c r="N36" s="4" t="s">
        <v>71</v>
      </c>
    </row>
    <row r="37" spans="1:14" x14ac:dyDescent="0.25">
      <c r="A37" s="4" t="str">
        <f>TRIM(Table4[[#This Row],[Account_ID2]])</f>
        <v>SF-01070</v>
      </c>
      <c r="B37" s="4" t="s">
        <v>202</v>
      </c>
      <c r="C37" s="4" t="str">
        <f t="shared" si="1"/>
        <v>Karachi Electronics Co.</v>
      </c>
      <c r="D37" s="4" t="s">
        <v>203</v>
      </c>
      <c r="E37" s="4" t="s">
        <v>128</v>
      </c>
      <c r="F37" s="4" t="s">
        <v>53</v>
      </c>
      <c r="G37" s="4" t="s">
        <v>45</v>
      </c>
      <c r="H37" s="4" t="str">
        <f t="shared" si="0"/>
        <v>0343545494</v>
      </c>
      <c r="I37" s="4" t="s">
        <v>204</v>
      </c>
      <c r="J37" s="10">
        <v>153504841</v>
      </c>
      <c r="K37" s="4" t="s">
        <v>75</v>
      </c>
      <c r="L37" s="11">
        <f t="shared" si="2"/>
        <v>44978</v>
      </c>
      <c r="M37" s="5" t="s">
        <v>129</v>
      </c>
      <c r="N37" s="4" t="s">
        <v>71</v>
      </c>
    </row>
    <row r="38" spans="1:14" x14ac:dyDescent="0.25">
      <c r="A38" s="4" t="str">
        <f>TRIM(Table4[[#This Row],[Account_ID2]])</f>
        <v>SF-01039</v>
      </c>
      <c r="B38" s="4" t="s">
        <v>205</v>
      </c>
      <c r="C38" s="4" t="str">
        <f t="shared" si="1"/>
        <v>Punjab Dairy Farms</v>
      </c>
      <c r="D38" s="4" t="s">
        <v>206</v>
      </c>
      <c r="E38" s="4" t="s">
        <v>94</v>
      </c>
      <c r="F38" s="4" t="s">
        <v>207</v>
      </c>
      <c r="G38" s="4" t="s">
        <v>45</v>
      </c>
      <c r="H38" s="4" t="str">
        <f t="shared" si="0"/>
        <v>N/A</v>
      </c>
      <c r="I38" s="4" t="s">
        <v>112</v>
      </c>
      <c r="J38" s="10">
        <v>155292587</v>
      </c>
      <c r="K38" s="4" t="s">
        <v>69</v>
      </c>
      <c r="L38" s="11">
        <f>IF(ISNUMBER(M38),M38,IFERROR(DATEVALUE(M38),IFERROR(DATE(VALUE(RIGHT(M38,4)),VALUE(MID(M38,4,2)),VALUE(LEFT(M38,2))),"")))</f>
        <v>45046</v>
      </c>
      <c r="M38" s="5" t="s">
        <v>208</v>
      </c>
      <c r="N38" s="4" t="s">
        <v>57</v>
      </c>
    </row>
  </sheetData>
  <pageMargins left="0.75" right="0.75" top="1" bottom="1" header="0.5" footer="0.5"/>
  <pageSetup orientation="portrait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47"/>
  <sheetViews>
    <sheetView workbookViewId="0">
      <pane ySplit="1" topLeftCell="A17" activePane="bottomLeft" state="frozen"/>
      <selection pane="bottomLeft" activeCell="J2" sqref="J2"/>
    </sheetView>
  </sheetViews>
  <sheetFormatPr defaultRowHeight="15" x14ac:dyDescent="0.25"/>
  <cols>
    <col min="1" max="1" width="12" customWidth="1"/>
    <col min="2" max="2" width="30.7109375" customWidth="1"/>
    <col min="3" max="3" width="5.5703125" hidden="1" customWidth="1"/>
    <col min="4" max="4" width="15.42578125" customWidth="1"/>
    <col min="5" max="5" width="11" customWidth="1"/>
    <col min="6" max="6" width="19" customWidth="1"/>
    <col min="7" max="7" width="32" customWidth="1"/>
    <col min="8" max="9" width="16" hidden="1" customWidth="1"/>
    <col min="10" max="10" width="16.5703125" customWidth="1"/>
  </cols>
  <sheetData>
    <row r="1" spans="1:10" x14ac:dyDescent="0.25">
      <c r="A1" s="3" t="s">
        <v>209</v>
      </c>
      <c r="B1" s="3" t="s">
        <v>32</v>
      </c>
      <c r="C1" s="3" t="s">
        <v>1216</v>
      </c>
      <c r="D1" s="3" t="s">
        <v>210</v>
      </c>
      <c r="E1" s="3" t="s">
        <v>211</v>
      </c>
      <c r="F1" s="3" t="s">
        <v>212</v>
      </c>
      <c r="G1" s="3" t="s">
        <v>213</v>
      </c>
      <c r="H1" s="3" t="s">
        <v>36</v>
      </c>
      <c r="I1" s="3" t="s">
        <v>214</v>
      </c>
      <c r="J1" s="3" t="s">
        <v>36</v>
      </c>
    </row>
    <row r="2" spans="1:10" x14ac:dyDescent="0.25">
      <c r="A2" s="4" t="s">
        <v>215</v>
      </c>
      <c r="B2" s="4" t="str">
        <f>PROPER(TRIM(C2))</f>
        <v>Sunrise Textiles Mills</v>
      </c>
      <c r="C2" s="4" t="s">
        <v>42</v>
      </c>
      <c r="D2" s="4" t="s">
        <v>216</v>
      </c>
      <c r="E2" s="4" t="s">
        <v>217</v>
      </c>
      <c r="F2" s="4" t="s">
        <v>218</v>
      </c>
      <c r="G2" s="4" t="s">
        <v>219</v>
      </c>
      <c r="H2" s="4" t="s">
        <v>220</v>
      </c>
      <c r="I2" s="4" t="s">
        <v>112</v>
      </c>
      <c r="J2" t="str">
        <f>_xlfn.LET(
    _xlpm.PrimaryNum, IF(OR(H2="", H2="N/A"), I2, H2),
    _xlpm.Clean1, SUBSTITUTE(_xlpm.PrimaryNum, "-", ""),
    _xlpm.Clean2, SUBSTITUTE(_xlpm.Clean1, " ", ""),
    _xlpm.Clean3, SUBSTITUTE(_xlpm.Clean2, "+", ""),
    _xlpm.Clean4, SUBSTITUTE(_xlpm.Clean3, "(", ""),
    _xlpm.Clean5, SUBSTITUTE(_xlpm.Clean4, ")", ""),
    _xlpm.Format92, IF(LEFT(_xlpm.Clean5, 2)="92", "0" &amp; MID(_xlpm.Clean5, 3, LEN(_xlpm.Clean5)), _xlpm.Clean5),
    IF(LEN(_xlpm.Format92)&gt;=10, _xlpm.Format92, "N/A")
)</f>
        <v>0371318699</v>
      </c>
    </row>
    <row r="3" spans="1:10" x14ac:dyDescent="0.25">
      <c r="A3" s="4" t="s">
        <v>221</v>
      </c>
      <c r="B3" s="4" t="str">
        <f t="shared" ref="B3:B47" si="0">PROPER(TRIM(C3))</f>
        <v>Faisal Steel Industries</v>
      </c>
      <c r="C3" s="4" t="s">
        <v>51</v>
      </c>
      <c r="D3" s="4" t="s">
        <v>222</v>
      </c>
      <c r="E3" s="4" t="s">
        <v>223</v>
      </c>
      <c r="F3" s="4" t="s">
        <v>224</v>
      </c>
      <c r="G3" s="4" t="s">
        <v>225</v>
      </c>
      <c r="H3" s="4" t="s">
        <v>112</v>
      </c>
      <c r="I3" s="4" t="s">
        <v>226</v>
      </c>
      <c r="J3" t="str">
        <f t="shared" ref="J3:J47" si="1">_xlfn.LET(
    _xlpm.PrimaryNum, IF(OR(H3="", H3="N/A"), I3, H3),
    _xlpm.Clean1, SUBSTITUTE(_xlpm.PrimaryNum, "-", ""),
    _xlpm.Clean2, SUBSTITUTE(_xlpm.Clean1, " ", ""),
    _xlpm.Clean3, SUBSTITUTE(_xlpm.Clean2, "+", ""),
    _xlpm.Clean4, SUBSTITUTE(_xlpm.Clean3, "(", ""),
    _xlpm.Clean5, SUBSTITUTE(_xlpm.Clean4, ")", ""),
    _xlpm.Format92, IF(LEFT(_xlpm.Clean5, 2)="92", "0" &amp; MID(_xlpm.Clean5, 3, LEN(_xlpm.Clean5)), _xlpm.Clean5),
    IF(LEN(_xlpm.Format92)&gt;=10, _xlpm.Format92, "N/A")
)</f>
        <v>0287134936</v>
      </c>
    </row>
    <row r="4" spans="1:10" x14ac:dyDescent="0.25">
      <c r="A4" s="4" t="s">
        <v>227</v>
      </c>
      <c r="B4" s="4" t="str">
        <f t="shared" si="0"/>
        <v>Union Cotton Traders</v>
      </c>
      <c r="C4" s="4" t="s">
        <v>59</v>
      </c>
      <c r="D4" s="4" t="s">
        <v>228</v>
      </c>
      <c r="E4" s="4" t="s">
        <v>229</v>
      </c>
      <c r="F4" s="4" t="s">
        <v>218</v>
      </c>
      <c r="G4" s="4" t="s">
        <v>230</v>
      </c>
      <c r="H4" s="4" t="s">
        <v>231</v>
      </c>
      <c r="I4" s="4"/>
      <c r="J4" t="str">
        <f t="shared" si="1"/>
        <v>0347174648</v>
      </c>
    </row>
    <row r="5" spans="1:10" x14ac:dyDescent="0.25">
      <c r="A5" s="4" t="s">
        <v>232</v>
      </c>
      <c r="B5" s="4" t="str">
        <f t="shared" si="0"/>
        <v>Lahore Auto Parts Ltd</v>
      </c>
      <c r="C5" s="4" t="s">
        <v>65</v>
      </c>
      <c r="D5" s="4" t="s">
        <v>233</v>
      </c>
      <c r="E5" s="4" t="s">
        <v>234</v>
      </c>
      <c r="F5" s="4" t="s">
        <v>224</v>
      </c>
      <c r="G5" s="4" t="s">
        <v>235</v>
      </c>
      <c r="H5" s="4" t="s">
        <v>236</v>
      </c>
      <c r="I5" s="4" t="s">
        <v>112</v>
      </c>
      <c r="J5" t="str">
        <f t="shared" si="1"/>
        <v>0429671756</v>
      </c>
    </row>
    <row r="6" spans="1:10" x14ac:dyDescent="0.25">
      <c r="A6" s="4" t="s">
        <v>237</v>
      </c>
      <c r="B6" s="4" t="str">
        <f t="shared" si="0"/>
        <v>Crescent Steel Works</v>
      </c>
      <c r="C6" s="4" t="s">
        <v>73</v>
      </c>
      <c r="D6" s="4" t="s">
        <v>238</v>
      </c>
      <c r="E6" s="4" t="s">
        <v>234</v>
      </c>
      <c r="F6" s="4" t="s">
        <v>239</v>
      </c>
      <c r="G6" s="4" t="s">
        <v>240</v>
      </c>
      <c r="H6" s="4" t="s">
        <v>241</v>
      </c>
      <c r="I6" s="4" t="s">
        <v>242</v>
      </c>
      <c r="J6" t="str">
        <f t="shared" si="1"/>
        <v>0327703482</v>
      </c>
    </row>
    <row r="7" spans="1:10" x14ac:dyDescent="0.25">
      <c r="A7" s="4" t="s">
        <v>243</v>
      </c>
      <c r="B7" s="4" t="str">
        <f t="shared" si="0"/>
        <v>Al-Rehman Rice Mills</v>
      </c>
      <c r="C7" s="4" t="s">
        <v>78</v>
      </c>
      <c r="D7" s="4" t="s">
        <v>244</v>
      </c>
      <c r="E7" s="4" t="s">
        <v>245</v>
      </c>
      <c r="F7" s="4" t="s">
        <v>246</v>
      </c>
      <c r="G7" s="4" t="s">
        <v>247</v>
      </c>
      <c r="H7" s="4" t="s">
        <v>112</v>
      </c>
      <c r="I7" s="4"/>
      <c r="J7" t="str">
        <f t="shared" si="1"/>
        <v>N/A</v>
      </c>
    </row>
    <row r="8" spans="1:10" x14ac:dyDescent="0.25">
      <c r="A8" s="4" t="s">
        <v>248</v>
      </c>
      <c r="B8" s="4" t="str">
        <f t="shared" si="0"/>
        <v>Highland Tea Traders</v>
      </c>
      <c r="C8" s="4" t="s">
        <v>84</v>
      </c>
      <c r="D8" s="4" t="s">
        <v>249</v>
      </c>
      <c r="E8" s="4" t="s">
        <v>250</v>
      </c>
      <c r="F8" s="4" t="s">
        <v>239</v>
      </c>
      <c r="G8" s="4" t="s">
        <v>251</v>
      </c>
      <c r="H8" s="4" t="s">
        <v>252</v>
      </c>
      <c r="I8" s="4" t="s">
        <v>253</v>
      </c>
      <c r="J8" t="str">
        <f t="shared" si="1"/>
        <v>0316753396</v>
      </c>
    </row>
    <row r="9" spans="1:10" x14ac:dyDescent="0.25">
      <c r="A9" s="4" t="s">
        <v>254</v>
      </c>
      <c r="B9" s="4" t="str">
        <f t="shared" si="0"/>
        <v>Ravi River Mills</v>
      </c>
      <c r="C9" s="4" t="s">
        <v>89</v>
      </c>
      <c r="D9" s="4" t="s">
        <v>229</v>
      </c>
      <c r="E9" s="4" t="s">
        <v>229</v>
      </c>
      <c r="F9" s="4" t="s">
        <v>255</v>
      </c>
      <c r="G9" s="4" t="s">
        <v>256</v>
      </c>
      <c r="H9" s="4"/>
      <c r="I9" s="4"/>
      <c r="J9" t="str">
        <f t="shared" si="1"/>
        <v>N/A</v>
      </c>
    </row>
    <row r="10" spans="1:10" x14ac:dyDescent="0.25">
      <c r="A10" s="4" t="s">
        <v>257</v>
      </c>
      <c r="B10" s="4" t="str">
        <f t="shared" si="0"/>
        <v>Ravi River Mills</v>
      </c>
      <c r="C10" s="4" t="s">
        <v>89</v>
      </c>
      <c r="D10" s="4" t="s">
        <v>249</v>
      </c>
      <c r="E10" s="4" t="s">
        <v>229</v>
      </c>
      <c r="F10" s="4" t="s">
        <v>112</v>
      </c>
      <c r="G10" s="4"/>
      <c r="H10" s="4" t="s">
        <v>258</v>
      </c>
      <c r="I10" s="4" t="s">
        <v>259</v>
      </c>
      <c r="J10" t="str">
        <f t="shared" si="1"/>
        <v>0330455623</v>
      </c>
    </row>
    <row r="11" spans="1:10" x14ac:dyDescent="0.25">
      <c r="A11" s="4" t="s">
        <v>260</v>
      </c>
      <c r="B11" s="4" t="str">
        <f t="shared" si="0"/>
        <v>Bright Future Foods</v>
      </c>
      <c r="C11" s="4" t="s">
        <v>93</v>
      </c>
      <c r="D11" s="4" t="s">
        <v>229</v>
      </c>
      <c r="E11" s="4" t="s">
        <v>234</v>
      </c>
      <c r="F11" s="4" t="s">
        <v>246</v>
      </c>
      <c r="G11" s="4" t="s">
        <v>261</v>
      </c>
      <c r="H11" s="4" t="s">
        <v>262</v>
      </c>
      <c r="I11" s="4" t="s">
        <v>112</v>
      </c>
      <c r="J11" t="str">
        <f t="shared" si="1"/>
        <v>0335946474</v>
      </c>
    </row>
    <row r="12" spans="1:10" x14ac:dyDescent="0.25">
      <c r="A12" s="4" t="s">
        <v>263</v>
      </c>
      <c r="B12" s="4" t="str">
        <f t="shared" si="0"/>
        <v>Sunrise Textiles Mills</v>
      </c>
      <c r="C12" s="4" t="s">
        <v>99</v>
      </c>
      <c r="D12" s="4" t="s">
        <v>264</v>
      </c>
      <c r="E12" s="4" t="s">
        <v>234</v>
      </c>
      <c r="F12" s="4" t="s">
        <v>112</v>
      </c>
      <c r="G12" s="4" t="s">
        <v>265</v>
      </c>
      <c r="H12" s="4" t="s">
        <v>266</v>
      </c>
      <c r="I12" s="4" t="s">
        <v>267</v>
      </c>
      <c r="J12" t="str">
        <f t="shared" si="1"/>
        <v>03025339421</v>
      </c>
    </row>
    <row r="13" spans="1:10" x14ac:dyDescent="0.25">
      <c r="A13" s="4" t="s">
        <v>268</v>
      </c>
      <c r="B13" s="4" t="str">
        <f t="shared" si="0"/>
        <v>Sunrise Textiles Mills</v>
      </c>
      <c r="C13" s="4" t="s">
        <v>99</v>
      </c>
      <c r="D13" s="4" t="s">
        <v>233</v>
      </c>
      <c r="E13" s="4" t="s">
        <v>245</v>
      </c>
      <c r="F13" s="4" t="s">
        <v>112</v>
      </c>
      <c r="G13" s="4" t="s">
        <v>269</v>
      </c>
      <c r="H13" s="4" t="s">
        <v>270</v>
      </c>
      <c r="I13" s="4" t="s">
        <v>271</v>
      </c>
      <c r="J13" t="str">
        <f t="shared" si="1"/>
        <v>0345171236</v>
      </c>
    </row>
    <row r="14" spans="1:10" x14ac:dyDescent="0.25">
      <c r="A14" s="4" t="s">
        <v>272</v>
      </c>
      <c r="B14" s="4" t="str">
        <f t="shared" si="0"/>
        <v>Apex Consulting Grp</v>
      </c>
      <c r="C14" s="4" t="s">
        <v>102</v>
      </c>
      <c r="D14" s="4" t="s">
        <v>264</v>
      </c>
      <c r="E14" s="4" t="s">
        <v>273</v>
      </c>
      <c r="F14" s="4" t="s">
        <v>274</v>
      </c>
      <c r="G14" s="4" t="s">
        <v>275</v>
      </c>
      <c r="H14" s="4" t="s">
        <v>276</v>
      </c>
      <c r="I14" s="4" t="s">
        <v>277</v>
      </c>
      <c r="J14" t="str">
        <f t="shared" si="1"/>
        <v>0304612004</v>
      </c>
    </row>
    <row r="15" spans="1:10" x14ac:dyDescent="0.25">
      <c r="A15" s="4" t="s">
        <v>278</v>
      </c>
      <c r="B15" s="4" t="str">
        <f t="shared" si="0"/>
        <v>Green Fields Agriculture</v>
      </c>
      <c r="C15" s="4" t="s">
        <v>107</v>
      </c>
      <c r="D15" s="4" t="s">
        <v>279</v>
      </c>
      <c r="E15" s="4" t="s">
        <v>273</v>
      </c>
      <c r="F15" s="4" t="s">
        <v>218</v>
      </c>
      <c r="G15" s="4" t="s">
        <v>280</v>
      </c>
      <c r="H15" s="4" t="s">
        <v>281</v>
      </c>
      <c r="I15" s="4" t="s">
        <v>282</v>
      </c>
      <c r="J15" t="str">
        <f t="shared" si="1"/>
        <v>0311585064</v>
      </c>
    </row>
    <row r="16" spans="1:10" x14ac:dyDescent="0.25">
      <c r="A16" s="4" t="s">
        <v>283</v>
      </c>
      <c r="B16" s="4" t="str">
        <f t="shared" si="0"/>
        <v>Northern Textiles Ventures</v>
      </c>
      <c r="C16" s="4" t="s">
        <v>111</v>
      </c>
      <c r="D16" s="4" t="s">
        <v>284</v>
      </c>
      <c r="E16" s="4" t="s">
        <v>285</v>
      </c>
      <c r="F16" s="4" t="s">
        <v>218</v>
      </c>
      <c r="G16" s="4" t="s">
        <v>286</v>
      </c>
      <c r="H16" s="4" t="s">
        <v>287</v>
      </c>
      <c r="I16" s="4" t="s">
        <v>288</v>
      </c>
      <c r="J16" t="str">
        <f t="shared" si="1"/>
        <v>03152284210</v>
      </c>
    </row>
    <row r="17" spans="1:10" x14ac:dyDescent="0.25">
      <c r="A17" s="4" t="s">
        <v>289</v>
      </c>
      <c r="B17" s="4" t="str">
        <f t="shared" si="0"/>
        <v>Delta Chemical Industries</v>
      </c>
      <c r="C17" s="4" t="s">
        <v>115</v>
      </c>
      <c r="D17" s="4" t="s">
        <v>249</v>
      </c>
      <c r="E17" s="4" t="s">
        <v>250</v>
      </c>
      <c r="F17" s="4" t="s">
        <v>112</v>
      </c>
      <c r="G17" s="4"/>
      <c r="H17" s="4" t="s">
        <v>290</v>
      </c>
      <c r="I17" s="4" t="s">
        <v>291</v>
      </c>
      <c r="J17" t="str">
        <f t="shared" si="1"/>
        <v>0338470076</v>
      </c>
    </row>
    <row r="18" spans="1:10" x14ac:dyDescent="0.25">
      <c r="A18" s="4" t="s">
        <v>292</v>
      </c>
      <c r="B18" s="4" t="str">
        <f t="shared" si="0"/>
        <v>Indus Valley Agro</v>
      </c>
      <c r="C18" s="4" t="s">
        <v>118</v>
      </c>
      <c r="D18" s="4" t="s">
        <v>249</v>
      </c>
      <c r="E18" s="4" t="s">
        <v>250</v>
      </c>
      <c r="F18" s="4" t="s">
        <v>255</v>
      </c>
      <c r="G18" s="4" t="s">
        <v>293</v>
      </c>
      <c r="H18" s="4" t="s">
        <v>294</v>
      </c>
      <c r="I18" s="4"/>
      <c r="J18" t="str">
        <f t="shared" si="1"/>
        <v>0348367365</v>
      </c>
    </row>
    <row r="19" spans="1:10" x14ac:dyDescent="0.25">
      <c r="A19" s="4" t="s">
        <v>295</v>
      </c>
      <c r="B19" s="4" t="str">
        <f t="shared" si="0"/>
        <v>Indus Valley Agro</v>
      </c>
      <c r="C19" s="4" t="s">
        <v>118</v>
      </c>
      <c r="D19" s="4" t="s">
        <v>296</v>
      </c>
      <c r="E19" s="4" t="s">
        <v>250</v>
      </c>
      <c r="F19" s="4" t="s">
        <v>218</v>
      </c>
      <c r="G19" s="4" t="s">
        <v>297</v>
      </c>
      <c r="H19" s="4" t="s">
        <v>298</v>
      </c>
      <c r="I19" s="4" t="s">
        <v>112</v>
      </c>
      <c r="J19" t="str">
        <f t="shared" si="1"/>
        <v>0321656049</v>
      </c>
    </row>
    <row r="20" spans="1:10" x14ac:dyDescent="0.25">
      <c r="A20" s="4" t="s">
        <v>299</v>
      </c>
      <c r="B20" s="4" t="str">
        <f t="shared" si="0"/>
        <v>Blue Ocean Logistics Ltd</v>
      </c>
      <c r="C20" s="4" t="s">
        <v>122</v>
      </c>
      <c r="D20" s="4" t="s">
        <v>264</v>
      </c>
      <c r="E20" s="4" t="s">
        <v>245</v>
      </c>
      <c r="F20" s="4" t="s">
        <v>218</v>
      </c>
      <c r="G20" s="4" t="s">
        <v>300</v>
      </c>
      <c r="H20" s="4" t="s">
        <v>301</v>
      </c>
      <c r="I20" s="4" t="s">
        <v>302</v>
      </c>
      <c r="J20" t="str">
        <f t="shared" si="1"/>
        <v>0305502296</v>
      </c>
    </row>
    <row r="21" spans="1:10" x14ac:dyDescent="0.25">
      <c r="A21" s="4" t="s">
        <v>303</v>
      </c>
      <c r="B21" s="4" t="str">
        <f t="shared" si="0"/>
        <v>Blue Ocean Logistics Ltd</v>
      </c>
      <c r="C21" s="4" t="s">
        <v>122</v>
      </c>
      <c r="D21" s="4" t="s">
        <v>228</v>
      </c>
      <c r="E21" s="4" t="s">
        <v>229</v>
      </c>
      <c r="F21" s="4" t="s">
        <v>255</v>
      </c>
      <c r="G21" s="4"/>
      <c r="H21" s="4" t="s">
        <v>304</v>
      </c>
      <c r="I21" s="4" t="s">
        <v>305</v>
      </c>
      <c r="J21" t="str">
        <f t="shared" si="1"/>
        <v>0454767976</v>
      </c>
    </row>
    <row r="22" spans="1:10" x14ac:dyDescent="0.25">
      <c r="A22" s="4" t="s">
        <v>306</v>
      </c>
      <c r="B22" s="4" t="str">
        <f t="shared" si="0"/>
        <v>Karachi Electronics Co</v>
      </c>
      <c r="C22" s="4" t="s">
        <v>127</v>
      </c>
      <c r="D22" s="4" t="s">
        <v>307</v>
      </c>
      <c r="E22" s="4" t="s">
        <v>229</v>
      </c>
      <c r="F22" s="4" t="s">
        <v>246</v>
      </c>
      <c r="G22" s="4" t="s">
        <v>308</v>
      </c>
      <c r="H22" s="4" t="s">
        <v>309</v>
      </c>
      <c r="I22" s="4" t="s">
        <v>310</v>
      </c>
      <c r="J22" t="str">
        <f t="shared" si="1"/>
        <v>0346226838</v>
      </c>
    </row>
    <row r="23" spans="1:10" x14ac:dyDescent="0.25">
      <c r="A23" s="4" t="s">
        <v>311</v>
      </c>
      <c r="B23" s="4" t="str">
        <f t="shared" si="0"/>
        <v>Millennium Plastics Ltd</v>
      </c>
      <c r="C23" s="4" t="s">
        <v>131</v>
      </c>
      <c r="D23" s="4" t="s">
        <v>229</v>
      </c>
      <c r="E23" s="4" t="s">
        <v>285</v>
      </c>
      <c r="F23" s="4" t="s">
        <v>112</v>
      </c>
      <c r="G23" s="4" t="s">
        <v>312</v>
      </c>
      <c r="H23" s="4"/>
      <c r="I23" s="4" t="s">
        <v>313</v>
      </c>
      <c r="J23" t="str">
        <f t="shared" si="1"/>
        <v>0275352181</v>
      </c>
    </row>
    <row r="24" spans="1:10" x14ac:dyDescent="0.25">
      <c r="A24" s="4" t="s">
        <v>314</v>
      </c>
      <c r="B24" s="4" t="str">
        <f t="shared" si="0"/>
        <v>Everest Trading Co</v>
      </c>
      <c r="C24" s="4" t="s">
        <v>135</v>
      </c>
      <c r="D24" s="4" t="s">
        <v>284</v>
      </c>
      <c r="E24" s="4" t="s">
        <v>223</v>
      </c>
      <c r="F24" s="4" t="s">
        <v>224</v>
      </c>
      <c r="G24" s="4" t="s">
        <v>315</v>
      </c>
      <c r="H24" s="4" t="s">
        <v>316</v>
      </c>
      <c r="I24" s="4" t="s">
        <v>317</v>
      </c>
      <c r="J24" t="str">
        <f t="shared" si="1"/>
        <v>0311277997</v>
      </c>
    </row>
    <row r="25" spans="1:10" x14ac:dyDescent="0.25">
      <c r="A25" s="4" t="s">
        <v>318</v>
      </c>
      <c r="B25" s="4" t="str">
        <f t="shared" si="0"/>
        <v>Skyline Real Estate Developers</v>
      </c>
      <c r="C25" s="4" t="s">
        <v>138</v>
      </c>
      <c r="D25" s="4" t="s">
        <v>228</v>
      </c>
      <c r="E25" s="4" t="s">
        <v>319</v>
      </c>
      <c r="F25" s="4" t="s">
        <v>112</v>
      </c>
      <c r="G25" s="4" t="s">
        <v>112</v>
      </c>
      <c r="H25" s="4"/>
      <c r="I25" s="4"/>
      <c r="J25" t="str">
        <f t="shared" si="1"/>
        <v>N/A</v>
      </c>
    </row>
    <row r="26" spans="1:10" x14ac:dyDescent="0.25">
      <c r="A26" s="4" t="s">
        <v>320</v>
      </c>
      <c r="B26" s="4" t="str">
        <f t="shared" si="0"/>
        <v>Metro Pharma Distributors</v>
      </c>
      <c r="C26" s="4" t="s">
        <v>144</v>
      </c>
      <c r="D26" s="4" t="s">
        <v>228</v>
      </c>
      <c r="E26" s="4" t="s">
        <v>273</v>
      </c>
      <c r="F26" s="4" t="s">
        <v>239</v>
      </c>
      <c r="G26" s="4" t="s">
        <v>321</v>
      </c>
      <c r="H26" s="4" t="s">
        <v>322</v>
      </c>
      <c r="I26" s="4"/>
      <c r="J26" t="str">
        <f t="shared" si="1"/>
        <v>0462554665</v>
      </c>
    </row>
    <row r="27" spans="1:10" x14ac:dyDescent="0.25">
      <c r="A27" s="4" t="s">
        <v>323</v>
      </c>
      <c r="B27" s="4" t="str">
        <f t="shared" si="0"/>
        <v>Zenith Apparel Mfg.</v>
      </c>
      <c r="C27" s="4" t="s">
        <v>148</v>
      </c>
      <c r="D27" s="4" t="s">
        <v>324</v>
      </c>
      <c r="E27" s="4" t="s">
        <v>325</v>
      </c>
      <c r="F27" s="4" t="s">
        <v>218</v>
      </c>
      <c r="G27" s="4" t="s">
        <v>326</v>
      </c>
      <c r="H27" s="4" t="s">
        <v>327</v>
      </c>
      <c r="I27" s="4" t="s">
        <v>328</v>
      </c>
      <c r="J27" t="str">
        <f t="shared" si="1"/>
        <v>0328652816</v>
      </c>
    </row>
    <row r="28" spans="1:10" x14ac:dyDescent="0.25">
      <c r="A28" s="4" t="s">
        <v>329</v>
      </c>
      <c r="B28" s="4" t="str">
        <f t="shared" si="0"/>
        <v>Horizon Pharmaceuticals</v>
      </c>
      <c r="C28" s="4" t="s">
        <v>152</v>
      </c>
      <c r="D28" s="4" t="s">
        <v>330</v>
      </c>
      <c r="E28" s="4" t="s">
        <v>217</v>
      </c>
      <c r="F28" s="4" t="s">
        <v>224</v>
      </c>
      <c r="G28" s="4" t="s">
        <v>331</v>
      </c>
      <c r="H28" s="4" t="s">
        <v>112</v>
      </c>
      <c r="I28" s="4" t="s">
        <v>332</v>
      </c>
      <c r="J28" t="str">
        <f t="shared" si="1"/>
        <v>0357383473</v>
      </c>
    </row>
    <row r="29" spans="1:10" x14ac:dyDescent="0.25">
      <c r="A29" s="4" t="s">
        <v>333</v>
      </c>
      <c r="B29" s="4" t="str">
        <f t="shared" si="0"/>
        <v>Horizon Pharmaceuticals</v>
      </c>
      <c r="C29" s="4" t="s">
        <v>152</v>
      </c>
      <c r="D29" s="4" t="s">
        <v>334</v>
      </c>
      <c r="E29" s="4" t="s">
        <v>250</v>
      </c>
      <c r="F29" s="4" t="s">
        <v>112</v>
      </c>
      <c r="G29" s="4" t="s">
        <v>335</v>
      </c>
      <c r="H29" s="4" t="s">
        <v>336</v>
      </c>
      <c r="I29" s="4" t="s">
        <v>337</v>
      </c>
      <c r="J29" t="str">
        <f t="shared" si="1"/>
        <v>0309240758</v>
      </c>
    </row>
    <row r="30" spans="1:10" x14ac:dyDescent="0.25">
      <c r="A30" s="4" t="s">
        <v>338</v>
      </c>
      <c r="B30" s="4" t="str">
        <f t="shared" si="0"/>
        <v>Prime Motors Ltd</v>
      </c>
      <c r="C30" s="4" t="s">
        <v>156</v>
      </c>
      <c r="D30" s="4" t="s">
        <v>334</v>
      </c>
      <c r="E30" s="4" t="s">
        <v>285</v>
      </c>
      <c r="F30" s="4" t="s">
        <v>224</v>
      </c>
      <c r="G30" s="4" t="s">
        <v>339</v>
      </c>
      <c r="H30" s="4" t="s">
        <v>112</v>
      </c>
      <c r="I30" s="4" t="s">
        <v>340</v>
      </c>
      <c r="J30" t="str">
        <f t="shared" si="1"/>
        <v>03467790104</v>
      </c>
    </row>
    <row r="31" spans="1:10" x14ac:dyDescent="0.25">
      <c r="A31" s="4" t="s">
        <v>341</v>
      </c>
      <c r="B31" s="4" t="str">
        <f t="shared" si="0"/>
        <v>Falcon Foods Processing.</v>
      </c>
      <c r="C31" s="4" t="s">
        <v>160</v>
      </c>
      <c r="D31" s="4" t="s">
        <v>342</v>
      </c>
      <c r="E31" s="4" t="s">
        <v>245</v>
      </c>
      <c r="F31" s="4" t="s">
        <v>246</v>
      </c>
      <c r="G31" s="4" t="s">
        <v>112</v>
      </c>
      <c r="H31" s="4" t="s">
        <v>343</v>
      </c>
      <c r="I31" s="4" t="s">
        <v>344</v>
      </c>
      <c r="J31" t="str">
        <f t="shared" si="1"/>
        <v>0349711798</v>
      </c>
    </row>
    <row r="32" spans="1:10" x14ac:dyDescent="0.25">
      <c r="A32" s="4" t="s">
        <v>345</v>
      </c>
      <c r="B32" s="4" t="str">
        <f t="shared" si="0"/>
        <v>Falcon Foods Processing.</v>
      </c>
      <c r="C32" s="4" t="s">
        <v>160</v>
      </c>
      <c r="D32" s="4" t="s">
        <v>216</v>
      </c>
      <c r="E32" s="4" t="s">
        <v>250</v>
      </c>
      <c r="F32" s="4" t="s">
        <v>239</v>
      </c>
      <c r="G32" s="4" t="s">
        <v>346</v>
      </c>
      <c r="H32" s="4" t="s">
        <v>347</v>
      </c>
      <c r="I32" s="4" t="s">
        <v>348</v>
      </c>
      <c r="J32" t="str">
        <f t="shared" si="1"/>
        <v>0320670654</v>
      </c>
    </row>
    <row r="33" spans="1:10" x14ac:dyDescent="0.25">
      <c r="A33" s="4" t="s">
        <v>349</v>
      </c>
      <c r="B33" s="4" t="str">
        <f t="shared" si="0"/>
        <v>Al Fateh Engineering</v>
      </c>
      <c r="C33" s="4" t="s">
        <v>164</v>
      </c>
      <c r="D33" s="4" t="s">
        <v>233</v>
      </c>
      <c r="E33" s="4" t="s">
        <v>229</v>
      </c>
      <c r="F33" s="4" t="s">
        <v>255</v>
      </c>
      <c r="G33" s="4" t="s">
        <v>350</v>
      </c>
      <c r="H33" s="4" t="s">
        <v>351</v>
      </c>
      <c r="I33" s="4"/>
      <c r="J33" t="str">
        <f t="shared" si="1"/>
        <v>0474303054</v>
      </c>
    </row>
    <row r="34" spans="1:10" x14ac:dyDescent="0.25">
      <c r="A34" s="4" t="s">
        <v>352</v>
      </c>
      <c r="B34" s="4" t="str">
        <f t="shared" si="0"/>
        <v>Al Fateh Engineering</v>
      </c>
      <c r="C34" s="4" t="s">
        <v>164</v>
      </c>
      <c r="D34" s="4" t="s">
        <v>353</v>
      </c>
      <c r="E34" s="4" t="s">
        <v>285</v>
      </c>
      <c r="F34" s="4" t="s">
        <v>112</v>
      </c>
      <c r="G34" s="4" t="s">
        <v>354</v>
      </c>
      <c r="H34" s="4" t="s">
        <v>355</v>
      </c>
      <c r="I34" s="4" t="s">
        <v>112</v>
      </c>
      <c r="J34" t="str">
        <f t="shared" si="1"/>
        <v>0318416169</v>
      </c>
    </row>
    <row r="35" spans="1:10" x14ac:dyDescent="0.25">
      <c r="A35" s="4" t="s">
        <v>356</v>
      </c>
      <c r="B35" s="4" t="str">
        <f t="shared" si="0"/>
        <v>Al Habib Textiles Pvt Ltd</v>
      </c>
      <c r="C35" s="4" t="s">
        <v>168</v>
      </c>
      <c r="D35" s="4" t="s">
        <v>222</v>
      </c>
      <c r="E35" s="4" t="s">
        <v>319</v>
      </c>
      <c r="F35" s="4" t="s">
        <v>239</v>
      </c>
      <c r="G35" s="4" t="s">
        <v>357</v>
      </c>
      <c r="H35" s="4" t="s">
        <v>358</v>
      </c>
      <c r="I35" s="4" t="s">
        <v>359</v>
      </c>
      <c r="J35" t="str">
        <f t="shared" si="1"/>
        <v>0452029702</v>
      </c>
    </row>
    <row r="36" spans="1:10" x14ac:dyDescent="0.25">
      <c r="A36" s="4" t="s">
        <v>360</v>
      </c>
      <c r="B36" s="4" t="str">
        <f t="shared" si="0"/>
        <v>Metro Retail Group</v>
      </c>
      <c r="C36" s="4" t="s">
        <v>172</v>
      </c>
      <c r="D36" s="4" t="s">
        <v>353</v>
      </c>
      <c r="E36" s="4" t="s">
        <v>285</v>
      </c>
      <c r="F36" s="4" t="s">
        <v>274</v>
      </c>
      <c r="G36" s="4" t="s">
        <v>361</v>
      </c>
      <c r="H36" s="4"/>
      <c r="I36" s="4"/>
      <c r="J36" t="str">
        <f t="shared" si="1"/>
        <v>N/A</v>
      </c>
    </row>
    <row r="37" spans="1:10" x14ac:dyDescent="0.25">
      <c r="A37" s="4" t="s">
        <v>362</v>
      </c>
      <c r="B37" s="4" t="str">
        <f t="shared" si="0"/>
        <v>Metro Retail Group</v>
      </c>
      <c r="C37" s="4" t="s">
        <v>172</v>
      </c>
      <c r="D37" s="4" t="s">
        <v>216</v>
      </c>
      <c r="E37" s="4" t="s">
        <v>250</v>
      </c>
      <c r="F37" s="4" t="s">
        <v>224</v>
      </c>
      <c r="G37" s="4" t="s">
        <v>346</v>
      </c>
      <c r="H37" s="4" t="s">
        <v>363</v>
      </c>
      <c r="I37" s="4" t="s">
        <v>364</v>
      </c>
      <c r="J37" t="str">
        <f t="shared" si="1"/>
        <v>03352583132</v>
      </c>
    </row>
    <row r="38" spans="1:10" x14ac:dyDescent="0.25">
      <c r="A38" s="4" t="s">
        <v>365</v>
      </c>
      <c r="B38" s="4" t="str">
        <f t="shared" si="0"/>
        <v>Falcon Foods Processing</v>
      </c>
      <c r="C38" s="4" t="s">
        <v>177</v>
      </c>
      <c r="D38" s="4" t="s">
        <v>366</v>
      </c>
      <c r="E38" s="4" t="s">
        <v>223</v>
      </c>
      <c r="F38" s="4" t="s">
        <v>246</v>
      </c>
      <c r="G38" s="4" t="s">
        <v>367</v>
      </c>
      <c r="H38" s="4" t="s">
        <v>112</v>
      </c>
      <c r="I38" s="4" t="s">
        <v>368</v>
      </c>
      <c r="J38" t="str">
        <f t="shared" si="1"/>
        <v>0511824225</v>
      </c>
    </row>
    <row r="39" spans="1:10" x14ac:dyDescent="0.25">
      <c r="A39" s="4" t="s">
        <v>369</v>
      </c>
      <c r="B39" s="4" t="str">
        <f t="shared" si="0"/>
        <v>Pearl Continental Exports</v>
      </c>
      <c r="C39" s="4" t="s">
        <v>180</v>
      </c>
      <c r="D39" s="4" t="s">
        <v>307</v>
      </c>
      <c r="E39" s="4" t="s">
        <v>250</v>
      </c>
      <c r="F39" s="4" t="s">
        <v>239</v>
      </c>
      <c r="G39" s="4" t="s">
        <v>370</v>
      </c>
      <c r="H39" s="4" t="s">
        <v>371</v>
      </c>
      <c r="I39" s="4"/>
      <c r="J39" t="str">
        <f t="shared" si="1"/>
        <v>0341829922</v>
      </c>
    </row>
    <row r="40" spans="1:10" x14ac:dyDescent="0.25">
      <c r="A40" s="4" t="s">
        <v>372</v>
      </c>
      <c r="B40" s="4" t="str">
        <f t="shared" si="0"/>
        <v>National Grain Traders</v>
      </c>
      <c r="C40" s="4" t="s">
        <v>184</v>
      </c>
      <c r="D40" s="4" t="s">
        <v>324</v>
      </c>
      <c r="E40" s="4" t="s">
        <v>234</v>
      </c>
      <c r="F40" s="4" t="s">
        <v>218</v>
      </c>
      <c r="G40" s="4" t="s">
        <v>373</v>
      </c>
      <c r="H40" s="4" t="s">
        <v>374</v>
      </c>
      <c r="I40" s="4" t="s">
        <v>375</v>
      </c>
      <c r="J40" t="str">
        <f t="shared" si="1"/>
        <v>0317102767</v>
      </c>
    </row>
    <row r="41" spans="1:10" x14ac:dyDescent="0.25">
      <c r="A41" s="4" t="s">
        <v>376</v>
      </c>
      <c r="B41" s="4" t="str">
        <f t="shared" si="0"/>
        <v>National Grain Traders</v>
      </c>
      <c r="C41" s="4" t="s">
        <v>184</v>
      </c>
      <c r="D41" s="4" t="s">
        <v>284</v>
      </c>
      <c r="E41" s="4" t="s">
        <v>229</v>
      </c>
      <c r="F41" s="4" t="s">
        <v>112</v>
      </c>
      <c r="G41" s="4" t="s">
        <v>377</v>
      </c>
      <c r="H41" s="4" t="s">
        <v>378</v>
      </c>
      <c r="I41" s="4" t="s">
        <v>379</v>
      </c>
      <c r="J41" t="str">
        <f t="shared" si="1"/>
        <v>0379632595</v>
      </c>
    </row>
    <row r="42" spans="1:10" x14ac:dyDescent="0.25">
      <c r="A42" s="4" t="s">
        <v>380</v>
      </c>
      <c r="B42" s="4" t="str">
        <f t="shared" si="0"/>
        <v>Everest Trading Co</v>
      </c>
      <c r="C42" s="4" t="s">
        <v>188</v>
      </c>
      <c r="D42" s="4" t="s">
        <v>264</v>
      </c>
      <c r="E42" s="4" t="s">
        <v>234</v>
      </c>
      <c r="F42" s="4" t="s">
        <v>246</v>
      </c>
      <c r="G42" s="4" t="s">
        <v>265</v>
      </c>
      <c r="H42" s="4" t="s">
        <v>381</v>
      </c>
      <c r="I42" s="4" t="s">
        <v>382</v>
      </c>
      <c r="J42" t="str">
        <f t="shared" si="1"/>
        <v>03232456506</v>
      </c>
    </row>
    <row r="43" spans="1:10" x14ac:dyDescent="0.25">
      <c r="A43" s="4" t="s">
        <v>383</v>
      </c>
      <c r="B43" s="4" t="str">
        <f t="shared" si="0"/>
        <v>Gulf Star Trading Co</v>
      </c>
      <c r="C43" s="4" t="s">
        <v>190</v>
      </c>
      <c r="D43" s="4" t="s">
        <v>238</v>
      </c>
      <c r="E43" s="4" t="s">
        <v>285</v>
      </c>
      <c r="F43" s="4" t="s">
        <v>239</v>
      </c>
      <c r="G43" s="4" t="s">
        <v>384</v>
      </c>
      <c r="H43" s="4" t="s">
        <v>385</v>
      </c>
      <c r="I43" s="4" t="s">
        <v>386</v>
      </c>
      <c r="J43" t="str">
        <f t="shared" si="1"/>
        <v>0310002578</v>
      </c>
    </row>
    <row r="44" spans="1:10" x14ac:dyDescent="0.25">
      <c r="A44" s="4" t="s">
        <v>387</v>
      </c>
      <c r="B44" s="4" t="str">
        <f t="shared" si="0"/>
        <v>Silver Line Construction Co.</v>
      </c>
      <c r="C44" s="4" t="s">
        <v>194</v>
      </c>
      <c r="D44" s="4" t="s">
        <v>244</v>
      </c>
      <c r="E44" s="4" t="s">
        <v>319</v>
      </c>
      <c r="F44" s="4" t="s">
        <v>246</v>
      </c>
      <c r="G44" s="4" t="s">
        <v>388</v>
      </c>
      <c r="H44" s="4" t="s">
        <v>389</v>
      </c>
      <c r="I44" s="4" t="s">
        <v>390</v>
      </c>
      <c r="J44" t="str">
        <f t="shared" si="1"/>
        <v>0229409749</v>
      </c>
    </row>
    <row r="45" spans="1:10" x14ac:dyDescent="0.25">
      <c r="A45" s="4" t="s">
        <v>391</v>
      </c>
      <c r="B45" s="4" t="str">
        <f t="shared" si="0"/>
        <v>Coastal Shipping Services</v>
      </c>
      <c r="C45" s="4" t="s">
        <v>199</v>
      </c>
      <c r="D45" s="4" t="s">
        <v>392</v>
      </c>
      <c r="E45" s="4" t="s">
        <v>273</v>
      </c>
      <c r="F45" s="4" t="s">
        <v>246</v>
      </c>
      <c r="G45" s="4" t="s">
        <v>393</v>
      </c>
      <c r="H45" s="4" t="s">
        <v>394</v>
      </c>
      <c r="I45" s="4" t="s">
        <v>395</v>
      </c>
      <c r="J45" t="str">
        <f t="shared" si="1"/>
        <v>0510283857</v>
      </c>
    </row>
    <row r="46" spans="1:10" x14ac:dyDescent="0.25">
      <c r="A46" s="4" t="s">
        <v>396</v>
      </c>
      <c r="B46" s="4" t="str">
        <f t="shared" si="0"/>
        <v>Karachi Electronics Co.</v>
      </c>
      <c r="C46" s="4" t="s">
        <v>203</v>
      </c>
      <c r="D46" s="4" t="s">
        <v>307</v>
      </c>
      <c r="E46" s="4" t="s">
        <v>234</v>
      </c>
      <c r="F46" s="4" t="s">
        <v>112</v>
      </c>
      <c r="G46" s="4" t="s">
        <v>397</v>
      </c>
      <c r="H46" s="4"/>
      <c r="I46" s="4" t="s">
        <v>398</v>
      </c>
      <c r="J46" t="str">
        <f t="shared" si="1"/>
        <v>0501574733</v>
      </c>
    </row>
    <row r="47" spans="1:10" x14ac:dyDescent="0.25">
      <c r="A47" s="4" t="s">
        <v>399</v>
      </c>
      <c r="B47" s="4" t="str">
        <f t="shared" si="0"/>
        <v>Punjab Dairy Farms</v>
      </c>
      <c r="C47" s="4" t="s">
        <v>206</v>
      </c>
      <c r="D47" s="4" t="s">
        <v>264</v>
      </c>
      <c r="E47" s="4" t="s">
        <v>217</v>
      </c>
      <c r="F47" s="4" t="s">
        <v>239</v>
      </c>
      <c r="G47" s="4" t="s">
        <v>400</v>
      </c>
      <c r="H47" s="4" t="s">
        <v>401</v>
      </c>
      <c r="I47" s="4" t="s">
        <v>402</v>
      </c>
      <c r="J47" t="str">
        <f t="shared" si="1"/>
        <v>0313301657</v>
      </c>
    </row>
  </sheetData>
  <autoFilter ref="A1:I47" xr:uid="{00000000-0009-0000-0000-000003000000}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76"/>
  <sheetViews>
    <sheetView workbookViewId="0">
      <pane ySplit="1" topLeftCell="A47" activePane="bottomLeft" state="frozen"/>
      <selection pane="bottomLeft" activeCell="O31" sqref="O31"/>
    </sheetView>
  </sheetViews>
  <sheetFormatPr defaultRowHeight="15" x14ac:dyDescent="0.25"/>
  <cols>
    <col min="1" max="1" width="16" customWidth="1"/>
    <col min="2" max="2" width="24.7109375" customWidth="1"/>
    <col min="3" max="3" width="32" hidden="1" customWidth="1"/>
    <col min="4" max="4" width="46.140625" customWidth="1"/>
    <col min="5" max="5" width="40" hidden="1" customWidth="1"/>
    <col min="6" max="6" width="18.28515625" customWidth="1"/>
    <col min="7" max="7" width="15" hidden="1" customWidth="1"/>
    <col min="8" max="8" width="16" customWidth="1"/>
    <col min="9" max="9" width="10" customWidth="1"/>
    <col min="10" max="10" width="15" style="15" customWidth="1"/>
    <col min="11" max="11" width="19" hidden="1" customWidth="1"/>
    <col min="12" max="12" width="18.28515625" customWidth="1"/>
    <col min="13" max="13" width="22" customWidth="1"/>
  </cols>
  <sheetData>
    <row r="1" spans="1:13" x14ac:dyDescent="0.25">
      <c r="A1" s="3" t="s">
        <v>403</v>
      </c>
      <c r="B1" s="3" t="s">
        <v>32</v>
      </c>
      <c r="C1" s="3" t="s">
        <v>1216</v>
      </c>
      <c r="D1" s="3" t="s">
        <v>404</v>
      </c>
      <c r="E1" s="3" t="s">
        <v>1217</v>
      </c>
      <c r="F1" s="3" t="s">
        <v>405</v>
      </c>
      <c r="G1" s="3" t="s">
        <v>405</v>
      </c>
      <c r="H1" s="3" t="s">
        <v>24</v>
      </c>
      <c r="I1" s="3" t="s">
        <v>25</v>
      </c>
      <c r="J1" s="14" t="s">
        <v>1211</v>
      </c>
      <c r="K1" s="3" t="s">
        <v>406</v>
      </c>
      <c r="L1" s="3" t="s">
        <v>218</v>
      </c>
      <c r="M1" s="3" t="s">
        <v>407</v>
      </c>
    </row>
    <row r="2" spans="1:13" x14ac:dyDescent="0.25">
      <c r="A2" s="4" t="s">
        <v>408</v>
      </c>
      <c r="B2" s="4" t="str">
        <f>PROPER(TRIM(C2))</f>
        <v>Sunrise Textiles Mills</v>
      </c>
      <c r="C2" s="4" t="s">
        <v>42</v>
      </c>
      <c r="D2" s="4" t="str">
        <f>PROPER(TRIM(E2))</f>
        <v>Sunrise Textiles Mills - Equipment Financing</v>
      </c>
      <c r="E2" s="4" t="s">
        <v>409</v>
      </c>
      <c r="F2" s="4" t="str">
        <f>PROPER(TRIM(G2))</f>
        <v>Proposal Sent</v>
      </c>
      <c r="G2" s="4" t="s">
        <v>410</v>
      </c>
      <c r="H2" s="10">
        <v>2938725</v>
      </c>
      <c r="I2" s="4" t="s">
        <v>29</v>
      </c>
      <c r="J2" s="11">
        <f>IF(ISNUMBER(K2),K2,IFERROR(DATEVALUE(K2),IFERROR(DATE(VALUE(RIGHT(K2,4)),VALUE(MID(K2,4,2)),VALUE(LEFT(K2,2))),"")))</f>
        <v>45519</v>
      </c>
      <c r="K2" s="4" t="s">
        <v>411</v>
      </c>
      <c r="L2" s="4" t="s">
        <v>47</v>
      </c>
      <c r="M2" s="4" t="s">
        <v>7</v>
      </c>
    </row>
    <row r="3" spans="1:13" x14ac:dyDescent="0.25">
      <c r="A3" s="4" t="s">
        <v>412</v>
      </c>
      <c r="B3" s="4" t="str">
        <f t="shared" ref="B3:B65" si="0">PROPER(TRIM(C3))</f>
        <v>Faisal Steel Industries</v>
      </c>
      <c r="C3" s="4" t="s">
        <v>51</v>
      </c>
      <c r="D3" s="4" t="str">
        <f t="shared" ref="D3:D65" si="1">PROPER(TRIM(E3))</f>
        <v>Faisal Steel Industries - Trade Finance</v>
      </c>
      <c r="E3" s="4" t="s">
        <v>413</v>
      </c>
      <c r="F3" s="4" t="str">
        <f t="shared" ref="F3:F65" si="2">PROPER(TRIM(G3))</f>
        <v>Proposal</v>
      </c>
      <c r="G3" s="4" t="s">
        <v>414</v>
      </c>
      <c r="H3" s="10">
        <v>36960278</v>
      </c>
      <c r="I3" s="4" t="s">
        <v>29</v>
      </c>
      <c r="J3" s="11">
        <f t="shared" ref="J3:J66" si="3">IF(ISNUMBER(K3),K3,IFERROR(DATEVALUE(K3),IFERROR(DATE(VALUE(RIGHT(K3,4)),VALUE(MID(K3,4,2)),VALUE(LEFT(K3,2))),"")))</f>
        <v>45633</v>
      </c>
      <c r="K3" s="4" t="s">
        <v>415</v>
      </c>
      <c r="L3" s="4" t="s">
        <v>47</v>
      </c>
      <c r="M3" s="4" t="s">
        <v>7</v>
      </c>
    </row>
    <row r="4" spans="1:13" x14ac:dyDescent="0.25">
      <c r="A4" s="4" t="s">
        <v>416</v>
      </c>
      <c r="B4" s="4" t="str">
        <f t="shared" si="0"/>
        <v>Union Cotton Traders</v>
      </c>
      <c r="C4" s="4" t="s">
        <v>59</v>
      </c>
      <c r="D4" s="4" t="str">
        <f t="shared" si="1"/>
        <v>Union Cotton Traders - Trade Finance</v>
      </c>
      <c r="E4" s="4" t="s">
        <v>417</v>
      </c>
      <c r="F4" s="4" t="str">
        <f t="shared" si="2"/>
        <v>Proposal Sent</v>
      </c>
      <c r="G4" s="4" t="s">
        <v>410</v>
      </c>
      <c r="H4" s="10">
        <v>1445174</v>
      </c>
      <c r="I4" s="4" t="s">
        <v>29</v>
      </c>
      <c r="J4" s="11">
        <f t="shared" si="3"/>
        <v>45286</v>
      </c>
      <c r="K4" s="4" t="s">
        <v>418</v>
      </c>
      <c r="L4" s="4" t="s">
        <v>55</v>
      </c>
      <c r="M4" s="4" t="s">
        <v>419</v>
      </c>
    </row>
    <row r="5" spans="1:13" x14ac:dyDescent="0.25">
      <c r="A5" s="4" t="s">
        <v>420</v>
      </c>
      <c r="B5" s="4" t="str">
        <f t="shared" si="0"/>
        <v>Union Cotton Traders</v>
      </c>
      <c r="C5" s="4" t="s">
        <v>59</v>
      </c>
      <c r="D5" s="4" t="str">
        <f t="shared" si="1"/>
        <v>Union Cotton Traders - Working Capital Loan</v>
      </c>
      <c r="E5" s="4" t="s">
        <v>421</v>
      </c>
      <c r="F5" s="4" t="str">
        <f t="shared" si="2"/>
        <v>Closed Won</v>
      </c>
      <c r="G5" s="4" t="s">
        <v>422</v>
      </c>
      <c r="H5" s="10">
        <v>6901186</v>
      </c>
      <c r="I5" s="4" t="s">
        <v>29</v>
      </c>
      <c r="J5" s="11">
        <f t="shared" si="3"/>
        <v>44940</v>
      </c>
      <c r="K5" s="4" t="s">
        <v>423</v>
      </c>
      <c r="L5" s="4" t="s">
        <v>55</v>
      </c>
      <c r="M5" s="4" t="s">
        <v>2</v>
      </c>
    </row>
    <row r="6" spans="1:13" x14ac:dyDescent="0.25">
      <c r="A6" s="4" t="s">
        <v>424</v>
      </c>
      <c r="B6" s="4" t="str">
        <f t="shared" si="0"/>
        <v>Lahore Auto Parts Ltd</v>
      </c>
      <c r="C6" s="4" t="s">
        <v>65</v>
      </c>
      <c r="D6" s="4" t="str">
        <f t="shared" si="1"/>
        <v>Lahore Auto Parts Ltd - Trade Finance</v>
      </c>
      <c r="E6" s="4" t="s">
        <v>425</v>
      </c>
      <c r="F6" s="4" t="str">
        <f t="shared" si="2"/>
        <v>Closed Won</v>
      </c>
      <c r="G6" s="4" t="s">
        <v>426</v>
      </c>
      <c r="H6" s="10">
        <v>39588279</v>
      </c>
      <c r="I6" s="4" t="s">
        <v>29</v>
      </c>
      <c r="J6" s="11">
        <f t="shared" si="3"/>
        <v>45410</v>
      </c>
      <c r="K6" s="4" t="s">
        <v>427</v>
      </c>
      <c r="L6" s="4" t="s">
        <v>47</v>
      </c>
      <c r="M6" s="4" t="s">
        <v>419</v>
      </c>
    </row>
    <row r="7" spans="1:13" x14ac:dyDescent="0.25">
      <c r="A7" s="4" t="s">
        <v>428</v>
      </c>
      <c r="B7" s="4" t="str">
        <f t="shared" si="0"/>
        <v>Lahore Auto Parts Ltd</v>
      </c>
      <c r="C7" s="4" t="s">
        <v>65</v>
      </c>
      <c r="D7" s="4" t="str">
        <f t="shared" si="1"/>
        <v>Lahore Auto Parts Ltd - Term Loan</v>
      </c>
      <c r="E7" s="4" t="s">
        <v>429</v>
      </c>
      <c r="F7" s="4" t="str">
        <f t="shared" si="2"/>
        <v>Closed Won</v>
      </c>
      <c r="G7" s="4" t="s">
        <v>422</v>
      </c>
      <c r="H7" s="10">
        <v>34223577</v>
      </c>
      <c r="I7" s="4" t="s">
        <v>29</v>
      </c>
      <c r="J7" s="11">
        <f t="shared" si="3"/>
        <v>45167</v>
      </c>
      <c r="K7" s="4" t="s">
        <v>430</v>
      </c>
      <c r="L7" s="4" t="s">
        <v>75</v>
      </c>
      <c r="M7" s="4" t="s">
        <v>7</v>
      </c>
    </row>
    <row r="8" spans="1:13" x14ac:dyDescent="0.25">
      <c r="A8" s="4" t="s">
        <v>431</v>
      </c>
      <c r="B8" s="4" t="str">
        <f t="shared" si="0"/>
        <v>Lahore Auto Parts Ltd</v>
      </c>
      <c r="C8" s="4" t="s">
        <v>65</v>
      </c>
      <c r="D8" s="4" t="str">
        <f t="shared" si="1"/>
        <v>Lahore Auto Parts Ltd - Term Loan</v>
      </c>
      <c r="E8" s="4" t="s">
        <v>429</v>
      </c>
      <c r="F8" s="4" t="str">
        <f t="shared" si="2"/>
        <v>Proposal Sent</v>
      </c>
      <c r="G8" s="4" t="s">
        <v>410</v>
      </c>
      <c r="H8" s="10">
        <v>32590244</v>
      </c>
      <c r="I8" s="4" t="s">
        <v>29</v>
      </c>
      <c r="J8" s="11">
        <f t="shared" si="3"/>
        <v>45778</v>
      </c>
      <c r="K8" s="4" t="s">
        <v>432</v>
      </c>
      <c r="L8" s="4" t="s">
        <v>96</v>
      </c>
      <c r="M8" s="4" t="s">
        <v>419</v>
      </c>
    </row>
    <row r="9" spans="1:13" x14ac:dyDescent="0.25">
      <c r="A9" s="4" t="s">
        <v>433</v>
      </c>
      <c r="B9" s="4" t="str">
        <f t="shared" si="0"/>
        <v>Crescent Steel Works</v>
      </c>
      <c r="C9" s="4" t="s">
        <v>73</v>
      </c>
      <c r="D9" s="4" t="str">
        <f t="shared" si="1"/>
        <v>Crescent Steel Works - Overdraft Facility</v>
      </c>
      <c r="E9" s="4" t="s">
        <v>434</v>
      </c>
      <c r="F9" s="4" t="str">
        <f t="shared" si="2"/>
        <v>Qualification</v>
      </c>
      <c r="G9" s="4" t="s">
        <v>435</v>
      </c>
      <c r="H9" s="10">
        <v>35766154</v>
      </c>
      <c r="I9" s="4" t="s">
        <v>29</v>
      </c>
      <c r="J9" s="11">
        <f t="shared" si="3"/>
        <v>45053</v>
      </c>
      <c r="K9" s="4" t="s">
        <v>436</v>
      </c>
      <c r="L9" s="4" t="s">
        <v>96</v>
      </c>
      <c r="M9" s="4" t="s">
        <v>2</v>
      </c>
    </row>
    <row r="10" spans="1:13" x14ac:dyDescent="0.25">
      <c r="A10" s="4" t="s">
        <v>437</v>
      </c>
      <c r="B10" s="4" t="str">
        <f t="shared" si="0"/>
        <v>Crescent Steel Works</v>
      </c>
      <c r="C10" s="4" t="s">
        <v>73</v>
      </c>
      <c r="D10" s="4" t="str">
        <f t="shared" si="1"/>
        <v>Crescent Steel Works - Term Loan</v>
      </c>
      <c r="E10" s="4" t="s">
        <v>438</v>
      </c>
      <c r="F10" s="4" t="str">
        <f t="shared" si="2"/>
        <v>Closed Lost</v>
      </c>
      <c r="G10" s="4" t="s">
        <v>439</v>
      </c>
      <c r="H10" s="10">
        <v>35419529</v>
      </c>
      <c r="I10" s="4" t="s">
        <v>29</v>
      </c>
      <c r="J10" s="11">
        <f t="shared" si="3"/>
        <v>45113</v>
      </c>
      <c r="K10" s="4" t="s">
        <v>440</v>
      </c>
      <c r="L10" s="4" t="s">
        <v>55</v>
      </c>
      <c r="M10" s="4" t="s">
        <v>441</v>
      </c>
    </row>
    <row r="11" spans="1:13" x14ac:dyDescent="0.25">
      <c r="A11" s="4" t="s">
        <v>442</v>
      </c>
      <c r="B11" s="4" t="str">
        <f t="shared" si="0"/>
        <v>Al-Rehman Rice Mills</v>
      </c>
      <c r="C11" s="4" t="s">
        <v>78</v>
      </c>
      <c r="D11" s="4" t="str">
        <f t="shared" si="1"/>
        <v>Al-Rehman Rice Mills - Overdraft Facility</v>
      </c>
      <c r="E11" s="4" t="s">
        <v>443</v>
      </c>
      <c r="F11" s="4" t="str">
        <f t="shared" si="2"/>
        <v>Closed Won</v>
      </c>
      <c r="G11" s="4" t="s">
        <v>422</v>
      </c>
      <c r="H11" s="10">
        <v>31155226</v>
      </c>
      <c r="I11" s="4" t="s">
        <v>29</v>
      </c>
      <c r="J11" s="11">
        <f t="shared" si="3"/>
        <v>44971</v>
      </c>
      <c r="K11" s="4" t="s">
        <v>444</v>
      </c>
      <c r="L11" s="4" t="s">
        <v>75</v>
      </c>
      <c r="M11" s="4" t="s">
        <v>441</v>
      </c>
    </row>
    <row r="12" spans="1:13" x14ac:dyDescent="0.25">
      <c r="A12" s="4" t="s">
        <v>445</v>
      </c>
      <c r="B12" s="4" t="str">
        <f t="shared" si="0"/>
        <v>Al-Rehman Rice Mills</v>
      </c>
      <c r="C12" s="4" t="s">
        <v>78</v>
      </c>
      <c r="D12" s="4" t="str">
        <f t="shared" si="1"/>
        <v>Al-Rehman Rice Mills - Overdraft Facility</v>
      </c>
      <c r="E12" s="4" t="s">
        <v>443</v>
      </c>
      <c r="F12" s="4" t="str">
        <f t="shared" si="2"/>
        <v>Qualification</v>
      </c>
      <c r="G12" s="4" t="s">
        <v>435</v>
      </c>
      <c r="H12" s="10">
        <v>3539347</v>
      </c>
      <c r="I12" s="4" t="s">
        <v>29</v>
      </c>
      <c r="J12" s="11">
        <f t="shared" si="3"/>
        <v>45068</v>
      </c>
      <c r="K12" s="4" t="s">
        <v>446</v>
      </c>
      <c r="L12" s="4" t="s">
        <v>47</v>
      </c>
      <c r="M12" s="4" t="s">
        <v>7</v>
      </c>
    </row>
    <row r="13" spans="1:13" x14ac:dyDescent="0.25">
      <c r="A13" s="4" t="s">
        <v>447</v>
      </c>
      <c r="B13" s="4" t="str">
        <f t="shared" si="0"/>
        <v>Al-Rehman Rice Mills</v>
      </c>
      <c r="C13" s="4" t="s">
        <v>78</v>
      </c>
      <c r="D13" s="4" t="str">
        <f t="shared" si="1"/>
        <v>Al-Rehman Rice Mills - Term Loan</v>
      </c>
      <c r="E13" s="4" t="s">
        <v>448</v>
      </c>
      <c r="F13" s="4" t="str">
        <f t="shared" si="2"/>
        <v>Proposal Sent</v>
      </c>
      <c r="G13" s="4" t="s">
        <v>410</v>
      </c>
      <c r="H13" s="10">
        <v>28710012</v>
      </c>
      <c r="I13" s="4" t="s">
        <v>29</v>
      </c>
      <c r="J13" s="11">
        <f t="shared" si="3"/>
        <v>45696</v>
      </c>
      <c r="K13" s="4" t="s">
        <v>449</v>
      </c>
      <c r="L13" s="4" t="s">
        <v>96</v>
      </c>
      <c r="M13" s="4" t="s">
        <v>2</v>
      </c>
    </row>
    <row r="14" spans="1:13" x14ac:dyDescent="0.25">
      <c r="A14" s="4" t="s">
        <v>450</v>
      </c>
      <c r="B14" s="4" t="str">
        <f t="shared" si="0"/>
        <v>Highland Tea Traders</v>
      </c>
      <c r="C14" s="4" t="s">
        <v>84</v>
      </c>
      <c r="D14" s="4" t="str">
        <f t="shared" si="1"/>
        <v>Highland Tea Traders - Term Loan</v>
      </c>
      <c r="E14" s="4" t="s">
        <v>451</v>
      </c>
      <c r="F14" s="4" t="str">
        <f t="shared" si="2"/>
        <v>Closed Won</v>
      </c>
      <c r="G14" s="4" t="s">
        <v>422</v>
      </c>
      <c r="H14" s="10">
        <v>35990022</v>
      </c>
      <c r="I14" s="4" t="s">
        <v>29</v>
      </c>
      <c r="J14" s="11">
        <f t="shared" si="3"/>
        <v>44973</v>
      </c>
      <c r="K14" s="4" t="s">
        <v>452</v>
      </c>
      <c r="L14" s="4" t="s">
        <v>55</v>
      </c>
      <c r="M14" s="4" t="s">
        <v>453</v>
      </c>
    </row>
    <row r="15" spans="1:13" x14ac:dyDescent="0.25">
      <c r="A15" s="4" t="s">
        <v>454</v>
      </c>
      <c r="B15" s="4" t="str">
        <f t="shared" si="0"/>
        <v>Highland Tea Traders</v>
      </c>
      <c r="C15" s="4" t="s">
        <v>84</v>
      </c>
      <c r="D15" s="4" t="str">
        <f t="shared" si="1"/>
        <v>Highland Tea Traders - Overdraft Facility</v>
      </c>
      <c r="E15" s="4" t="s">
        <v>455</v>
      </c>
      <c r="F15" s="4" t="str">
        <f t="shared" si="2"/>
        <v>Closed Won</v>
      </c>
      <c r="G15" s="4" t="s">
        <v>422</v>
      </c>
      <c r="H15" s="10">
        <v>15912494</v>
      </c>
      <c r="I15" s="4" t="s">
        <v>29</v>
      </c>
      <c r="J15" s="11">
        <f t="shared" si="3"/>
        <v>45158</v>
      </c>
      <c r="K15" s="4" t="s">
        <v>456</v>
      </c>
      <c r="L15" s="4" t="s">
        <v>55</v>
      </c>
      <c r="M15" s="4" t="s">
        <v>453</v>
      </c>
    </row>
    <row r="16" spans="1:13" x14ac:dyDescent="0.25">
      <c r="A16" s="4" t="s">
        <v>457</v>
      </c>
      <c r="B16" s="4" t="str">
        <f t="shared" si="0"/>
        <v>Ravi River Mills</v>
      </c>
      <c r="C16" s="4" t="s">
        <v>89</v>
      </c>
      <c r="D16" s="4" t="str">
        <f t="shared" si="1"/>
        <v>Ravi River Mills - Term Loan</v>
      </c>
      <c r="E16" s="4" t="s">
        <v>458</v>
      </c>
      <c r="F16" s="4" t="str">
        <f t="shared" si="2"/>
        <v>Qualification</v>
      </c>
      <c r="G16" s="4" t="s">
        <v>435</v>
      </c>
      <c r="H16" s="10">
        <v>7271063</v>
      </c>
      <c r="I16" s="4" t="s">
        <v>29</v>
      </c>
      <c r="J16" s="11">
        <f t="shared" si="3"/>
        <v>45428</v>
      </c>
      <c r="K16" s="4" t="s">
        <v>459</v>
      </c>
      <c r="L16" s="4" t="s">
        <v>47</v>
      </c>
      <c r="M16" s="4" t="s">
        <v>419</v>
      </c>
    </row>
    <row r="17" spans="1:13" x14ac:dyDescent="0.25">
      <c r="A17" s="4" t="s">
        <v>460</v>
      </c>
      <c r="B17" s="4" t="str">
        <f t="shared" si="0"/>
        <v>Bright Future Foods</v>
      </c>
      <c r="C17" s="4" t="s">
        <v>93</v>
      </c>
      <c r="D17" s="4" t="str">
        <f t="shared" si="1"/>
        <v>Bright Future Foods - Overdraft Facility</v>
      </c>
      <c r="E17" s="4" t="s">
        <v>461</v>
      </c>
      <c r="F17" s="4" t="str">
        <f t="shared" si="2"/>
        <v>Negotiation</v>
      </c>
      <c r="G17" s="4" t="s">
        <v>462</v>
      </c>
      <c r="H17" s="10">
        <v>4287895</v>
      </c>
      <c r="I17" s="4" t="s">
        <v>29</v>
      </c>
      <c r="J17" s="11">
        <f t="shared" si="3"/>
        <v>46109</v>
      </c>
      <c r="K17" s="4" t="s">
        <v>463</v>
      </c>
      <c r="L17" s="4" t="s">
        <v>75</v>
      </c>
      <c r="M17" s="4" t="s">
        <v>2</v>
      </c>
    </row>
    <row r="18" spans="1:13" x14ac:dyDescent="0.25">
      <c r="A18" s="4" t="s">
        <v>464</v>
      </c>
      <c r="B18" s="4" t="str">
        <f t="shared" si="0"/>
        <v>Bright Future Foods</v>
      </c>
      <c r="C18" s="4" t="s">
        <v>93</v>
      </c>
      <c r="D18" s="4" t="str">
        <f t="shared" si="1"/>
        <v>Bright Future Foods - Term Loan</v>
      </c>
      <c r="E18" s="4" t="s">
        <v>465</v>
      </c>
      <c r="F18" s="4" t="str">
        <f t="shared" si="2"/>
        <v>Negotiation</v>
      </c>
      <c r="G18" s="4" t="s">
        <v>462</v>
      </c>
      <c r="H18" s="10">
        <v>28253555</v>
      </c>
      <c r="I18" s="4" t="s">
        <v>29</v>
      </c>
      <c r="J18" s="11">
        <f t="shared" si="3"/>
        <v>46209</v>
      </c>
      <c r="K18" s="4" t="s">
        <v>466</v>
      </c>
      <c r="L18" s="4" t="s">
        <v>55</v>
      </c>
      <c r="M18" s="4" t="s">
        <v>453</v>
      </c>
    </row>
    <row r="19" spans="1:13" x14ac:dyDescent="0.25">
      <c r="A19" s="4" t="s">
        <v>467</v>
      </c>
      <c r="B19" s="4" t="str">
        <f t="shared" si="0"/>
        <v>Bright Future Foods</v>
      </c>
      <c r="C19" s="4" t="s">
        <v>93</v>
      </c>
      <c r="D19" s="4" t="str">
        <f t="shared" si="1"/>
        <v>Bright Future Foods - Working Capital Loan</v>
      </c>
      <c r="E19" s="4" t="s">
        <v>468</v>
      </c>
      <c r="F19" s="4" t="str">
        <f t="shared" si="2"/>
        <v>Closed Lost</v>
      </c>
      <c r="G19" s="4" t="s">
        <v>439</v>
      </c>
      <c r="H19" s="10">
        <v>26078854</v>
      </c>
      <c r="I19" s="4" t="s">
        <v>29</v>
      </c>
      <c r="J19" s="11">
        <f t="shared" si="3"/>
        <v>45232</v>
      </c>
      <c r="K19" s="4" t="s">
        <v>469</v>
      </c>
      <c r="L19" s="4" t="s">
        <v>55</v>
      </c>
      <c r="M19" s="4" t="s">
        <v>2</v>
      </c>
    </row>
    <row r="20" spans="1:13" x14ac:dyDescent="0.25">
      <c r="A20" s="4" t="s">
        <v>470</v>
      </c>
      <c r="B20" s="4" t="str">
        <f t="shared" si="0"/>
        <v>Sunrise Textiles Mills</v>
      </c>
      <c r="C20" s="4" t="s">
        <v>99</v>
      </c>
      <c r="D20" s="4" t="str">
        <f t="shared" si="1"/>
        <v>Sunrise Textiles Mills - Term Loan</v>
      </c>
      <c r="E20" s="4" t="s">
        <v>471</v>
      </c>
      <c r="F20" s="4" t="str">
        <f t="shared" si="2"/>
        <v>Closed Won</v>
      </c>
      <c r="G20" s="4" t="s">
        <v>426</v>
      </c>
      <c r="H20" s="10">
        <v>10187281</v>
      </c>
      <c r="I20" s="4" t="s">
        <v>29</v>
      </c>
      <c r="J20" s="11">
        <f t="shared" si="3"/>
        <v>45780</v>
      </c>
      <c r="K20" s="4" t="s">
        <v>472</v>
      </c>
      <c r="L20" s="4" t="s">
        <v>96</v>
      </c>
      <c r="M20" s="4" t="s">
        <v>2</v>
      </c>
    </row>
    <row r="21" spans="1:13" x14ac:dyDescent="0.25">
      <c r="A21" s="4" t="s">
        <v>473</v>
      </c>
      <c r="B21" s="4" t="str">
        <f t="shared" si="0"/>
        <v>Sunrise Textiles Mills</v>
      </c>
      <c r="C21" s="4" t="s">
        <v>99</v>
      </c>
      <c r="D21" s="4" t="str">
        <f t="shared" si="1"/>
        <v>Sunrise Textiles Mills - Term Loan</v>
      </c>
      <c r="E21" s="4" t="s">
        <v>471</v>
      </c>
      <c r="F21" s="4" t="str">
        <f t="shared" si="2"/>
        <v>Closed Won</v>
      </c>
      <c r="G21" s="4" t="s">
        <v>426</v>
      </c>
      <c r="H21" s="10">
        <v>14145697</v>
      </c>
      <c r="I21" s="4" t="s">
        <v>29</v>
      </c>
      <c r="J21" s="11">
        <f t="shared" si="3"/>
        <v>45116</v>
      </c>
      <c r="K21" s="4" t="s">
        <v>474</v>
      </c>
      <c r="L21" s="4" t="s">
        <v>69</v>
      </c>
      <c r="M21" s="4" t="s">
        <v>441</v>
      </c>
    </row>
    <row r="22" spans="1:13" x14ac:dyDescent="0.25">
      <c r="A22" s="4" t="s">
        <v>475</v>
      </c>
      <c r="B22" s="4" t="str">
        <f t="shared" si="0"/>
        <v>Sunrise Textiles Mills</v>
      </c>
      <c r="C22" s="4" t="s">
        <v>99</v>
      </c>
      <c r="D22" s="4" t="str">
        <f t="shared" si="1"/>
        <v>Sunrise Textiles Mills - Equipment Financing</v>
      </c>
      <c r="E22" s="4" t="s">
        <v>409</v>
      </c>
      <c r="F22" s="4" t="str">
        <f t="shared" si="2"/>
        <v>Prospecting</v>
      </c>
      <c r="G22" s="4" t="s">
        <v>476</v>
      </c>
      <c r="H22" s="10">
        <v>5384473</v>
      </c>
      <c r="I22" s="4" t="s">
        <v>29</v>
      </c>
      <c r="J22" s="11">
        <f t="shared" si="3"/>
        <v>45878</v>
      </c>
      <c r="K22" s="4" t="s">
        <v>477</v>
      </c>
      <c r="L22" s="4" t="s">
        <v>75</v>
      </c>
      <c r="M22" s="4" t="s">
        <v>7</v>
      </c>
    </row>
    <row r="23" spans="1:13" x14ac:dyDescent="0.25">
      <c r="A23" s="4" t="s">
        <v>478</v>
      </c>
      <c r="B23" s="4" t="str">
        <f t="shared" si="0"/>
        <v>Apex Consulting Grp</v>
      </c>
      <c r="C23" s="4" t="s">
        <v>102</v>
      </c>
      <c r="D23" s="4" t="str">
        <f t="shared" si="1"/>
        <v>Apex Consulting Grp - Term Loan</v>
      </c>
      <c r="E23" s="4" t="s">
        <v>479</v>
      </c>
      <c r="F23" s="4" t="str">
        <f t="shared" si="2"/>
        <v>Qualification</v>
      </c>
      <c r="G23" s="4" t="s">
        <v>435</v>
      </c>
      <c r="H23" s="10">
        <v>32639835</v>
      </c>
      <c r="I23" s="4" t="s">
        <v>29</v>
      </c>
      <c r="J23" s="11">
        <f t="shared" si="3"/>
        <v>45739</v>
      </c>
      <c r="K23" s="4" t="s">
        <v>480</v>
      </c>
      <c r="L23" s="4" t="s">
        <v>96</v>
      </c>
      <c r="M23" s="4" t="s">
        <v>7</v>
      </c>
    </row>
    <row r="24" spans="1:13" x14ac:dyDescent="0.25">
      <c r="A24" s="4" t="s">
        <v>481</v>
      </c>
      <c r="B24" s="4" t="str">
        <f t="shared" si="0"/>
        <v>Green Fields Agriculture</v>
      </c>
      <c r="C24" s="4" t="s">
        <v>107</v>
      </c>
      <c r="D24" s="4" t="str">
        <f t="shared" si="1"/>
        <v>Green Fields Agriculture - Equipment Financing</v>
      </c>
      <c r="E24" s="4" t="s">
        <v>482</v>
      </c>
      <c r="F24" s="4" t="str">
        <f t="shared" si="2"/>
        <v>Closed Lost</v>
      </c>
      <c r="G24" s="4" t="s">
        <v>439</v>
      </c>
      <c r="H24" s="10">
        <v>21197869</v>
      </c>
      <c r="I24" s="4" t="s">
        <v>29</v>
      </c>
      <c r="J24" s="11">
        <f t="shared" si="3"/>
        <v>45128</v>
      </c>
      <c r="K24" s="4" t="s">
        <v>483</v>
      </c>
      <c r="L24" s="4" t="s">
        <v>55</v>
      </c>
      <c r="M24" s="4" t="s">
        <v>7</v>
      </c>
    </row>
    <row r="25" spans="1:13" x14ac:dyDescent="0.25">
      <c r="A25" s="4" t="s">
        <v>484</v>
      </c>
      <c r="B25" s="4" t="str">
        <f t="shared" si="0"/>
        <v>Northern Textiles Ventures</v>
      </c>
      <c r="C25" s="4" t="s">
        <v>111</v>
      </c>
      <c r="D25" s="4" t="str">
        <f t="shared" si="1"/>
        <v>Northern Textiles Ventures - Term Loan</v>
      </c>
      <c r="E25" s="4" t="s">
        <v>485</v>
      </c>
      <c r="F25" s="4" t="str">
        <f t="shared" si="2"/>
        <v>Negotiation</v>
      </c>
      <c r="G25" s="4" t="s">
        <v>462</v>
      </c>
      <c r="H25" s="10">
        <v>22636884</v>
      </c>
      <c r="I25" s="4" t="s">
        <v>29</v>
      </c>
      <c r="J25" s="11">
        <f t="shared" si="3"/>
        <v>46054</v>
      </c>
      <c r="K25" s="4" t="s">
        <v>486</v>
      </c>
      <c r="L25" s="4" t="s">
        <v>75</v>
      </c>
      <c r="M25" s="4" t="s">
        <v>7</v>
      </c>
    </row>
    <row r="26" spans="1:13" x14ac:dyDescent="0.25">
      <c r="A26" s="4" t="s">
        <v>487</v>
      </c>
      <c r="B26" s="4" t="str">
        <f t="shared" si="0"/>
        <v>Northern Textiles Ventures</v>
      </c>
      <c r="C26" s="4" t="s">
        <v>111</v>
      </c>
      <c r="D26" s="4" t="str">
        <f t="shared" si="1"/>
        <v>Northern Textiles Ventures - Equipment Financing</v>
      </c>
      <c r="E26" s="4" t="s">
        <v>488</v>
      </c>
      <c r="F26" s="4" t="str">
        <f t="shared" si="2"/>
        <v>Proposal</v>
      </c>
      <c r="G26" s="4" t="s">
        <v>414</v>
      </c>
      <c r="H26" s="10">
        <v>11789968</v>
      </c>
      <c r="I26" s="4" t="s">
        <v>29</v>
      </c>
      <c r="J26" s="11">
        <f t="shared" si="3"/>
        <v>45303</v>
      </c>
      <c r="K26" s="4" t="s">
        <v>489</v>
      </c>
      <c r="L26" s="4" t="s">
        <v>47</v>
      </c>
      <c r="M26" s="4" t="s">
        <v>453</v>
      </c>
    </row>
    <row r="27" spans="1:13" x14ac:dyDescent="0.25">
      <c r="A27" s="4" t="s">
        <v>490</v>
      </c>
      <c r="B27" s="4" t="str">
        <f t="shared" si="0"/>
        <v>Northern Textiles Ventures</v>
      </c>
      <c r="C27" s="4" t="s">
        <v>111</v>
      </c>
      <c r="D27" s="4" t="str">
        <f t="shared" si="1"/>
        <v>Northern Textiles Ventures - Working Capital Loan</v>
      </c>
      <c r="E27" s="4" t="s">
        <v>491</v>
      </c>
      <c r="F27" s="4" t="str">
        <f t="shared" si="2"/>
        <v>Prospecting</v>
      </c>
      <c r="G27" s="4" t="s">
        <v>476</v>
      </c>
      <c r="H27" s="10">
        <v>928411</v>
      </c>
      <c r="I27" s="4" t="s">
        <v>29</v>
      </c>
      <c r="J27" s="11">
        <f t="shared" si="3"/>
        <v>45236</v>
      </c>
      <c r="K27" s="4" t="s">
        <v>492</v>
      </c>
      <c r="L27" s="4" t="s">
        <v>69</v>
      </c>
      <c r="M27" s="4" t="s">
        <v>453</v>
      </c>
    </row>
    <row r="28" spans="1:13" x14ac:dyDescent="0.25">
      <c r="A28" s="4" t="s">
        <v>493</v>
      </c>
      <c r="B28" s="4" t="str">
        <f t="shared" si="0"/>
        <v>Delta Chemical Industries</v>
      </c>
      <c r="C28" s="4" t="s">
        <v>115</v>
      </c>
      <c r="D28" s="4" t="str">
        <f t="shared" si="1"/>
        <v>Delta Chemical Industries - Working Capital Loan</v>
      </c>
      <c r="E28" s="4" t="s">
        <v>494</v>
      </c>
      <c r="F28" s="4" t="str">
        <f t="shared" si="2"/>
        <v>Proposal</v>
      </c>
      <c r="G28" s="4" t="s">
        <v>414</v>
      </c>
      <c r="H28" s="10">
        <v>33239353</v>
      </c>
      <c r="I28" s="4" t="s">
        <v>29</v>
      </c>
      <c r="J28" s="11">
        <f t="shared" si="3"/>
        <v>44961</v>
      </c>
      <c r="K28" s="4" t="s">
        <v>495</v>
      </c>
      <c r="L28" s="4" t="s">
        <v>75</v>
      </c>
      <c r="M28" s="4" t="s">
        <v>453</v>
      </c>
    </row>
    <row r="29" spans="1:13" x14ac:dyDescent="0.25">
      <c r="A29" s="4" t="s">
        <v>496</v>
      </c>
      <c r="B29" s="4" t="str">
        <f t="shared" si="0"/>
        <v>Delta Chemical Industries</v>
      </c>
      <c r="C29" s="4" t="s">
        <v>115</v>
      </c>
      <c r="D29" s="4" t="str">
        <f t="shared" si="1"/>
        <v>Delta Chemical Industries - Working Capital Loan</v>
      </c>
      <c r="E29" s="4" t="s">
        <v>494</v>
      </c>
      <c r="F29" s="4" t="str">
        <f t="shared" si="2"/>
        <v>Closed Won</v>
      </c>
      <c r="G29" s="4" t="s">
        <v>422</v>
      </c>
      <c r="H29" s="10">
        <v>12530394</v>
      </c>
      <c r="I29" s="4" t="s">
        <v>29</v>
      </c>
      <c r="J29" s="11">
        <f t="shared" si="3"/>
        <v>45320</v>
      </c>
      <c r="K29" s="4" t="s">
        <v>497</v>
      </c>
      <c r="L29" s="4" t="s">
        <v>96</v>
      </c>
      <c r="M29" s="4" t="s">
        <v>7</v>
      </c>
    </row>
    <row r="30" spans="1:13" x14ac:dyDescent="0.25">
      <c r="A30" s="4" t="s">
        <v>498</v>
      </c>
      <c r="B30" s="4" t="str">
        <f t="shared" si="0"/>
        <v>Delta Chemical Industries</v>
      </c>
      <c r="C30" s="4" t="s">
        <v>115</v>
      </c>
      <c r="D30" s="4" t="str">
        <f t="shared" si="1"/>
        <v>Delta Chemical Industries - Trade Finance</v>
      </c>
      <c r="E30" s="4" t="s">
        <v>499</v>
      </c>
      <c r="F30" s="4" t="str">
        <f t="shared" si="2"/>
        <v>Closed Won</v>
      </c>
      <c r="G30" s="4" t="s">
        <v>422</v>
      </c>
      <c r="H30" s="10">
        <v>5802891</v>
      </c>
      <c r="I30" s="4" t="s">
        <v>29</v>
      </c>
      <c r="J30" s="11">
        <f t="shared" si="3"/>
        <v>45389</v>
      </c>
      <c r="K30" s="4" t="s">
        <v>500</v>
      </c>
      <c r="L30" s="4" t="s">
        <v>47</v>
      </c>
      <c r="M30" s="4" t="s">
        <v>441</v>
      </c>
    </row>
    <row r="31" spans="1:13" x14ac:dyDescent="0.25">
      <c r="A31" s="4" t="s">
        <v>501</v>
      </c>
      <c r="B31" s="4" t="str">
        <f t="shared" si="0"/>
        <v>Indus Valley Agro</v>
      </c>
      <c r="C31" s="4" t="s">
        <v>118</v>
      </c>
      <c r="D31" s="4" t="str">
        <f t="shared" si="1"/>
        <v>Indus Valley Agro - Equipment Financing</v>
      </c>
      <c r="E31" s="4" t="s">
        <v>502</v>
      </c>
      <c r="F31" s="4" t="str">
        <f t="shared" si="2"/>
        <v>Closed Won</v>
      </c>
      <c r="G31" s="4" t="s">
        <v>422</v>
      </c>
      <c r="H31" s="10">
        <v>37591165</v>
      </c>
      <c r="I31" s="4" t="s">
        <v>29</v>
      </c>
      <c r="J31" s="11">
        <f t="shared" si="3"/>
        <v>45096</v>
      </c>
      <c r="K31" s="4" t="s">
        <v>503</v>
      </c>
      <c r="L31" s="4" t="s">
        <v>55</v>
      </c>
      <c r="M31" s="4" t="s">
        <v>7</v>
      </c>
    </row>
    <row r="32" spans="1:13" x14ac:dyDescent="0.25">
      <c r="A32" s="4" t="s">
        <v>504</v>
      </c>
      <c r="B32" s="4" t="str">
        <f t="shared" si="0"/>
        <v>Blue Ocean Logistics Ltd</v>
      </c>
      <c r="C32" s="4" t="s">
        <v>122</v>
      </c>
      <c r="D32" s="4" t="str">
        <f t="shared" si="1"/>
        <v>Blue Ocean Logistics Ltd - Term Loan</v>
      </c>
      <c r="E32" s="4" t="s">
        <v>505</v>
      </c>
      <c r="F32" s="4" t="str">
        <f t="shared" si="2"/>
        <v>Negotiation</v>
      </c>
      <c r="G32" s="4" t="s">
        <v>462</v>
      </c>
      <c r="H32" s="10">
        <v>38536240</v>
      </c>
      <c r="I32" s="4" t="s">
        <v>29</v>
      </c>
      <c r="J32" s="11">
        <f t="shared" si="3"/>
        <v>46039</v>
      </c>
      <c r="K32" s="4" t="s">
        <v>506</v>
      </c>
      <c r="L32" s="4" t="s">
        <v>47</v>
      </c>
      <c r="M32" s="4" t="s">
        <v>2</v>
      </c>
    </row>
    <row r="33" spans="1:13" x14ac:dyDescent="0.25">
      <c r="A33" s="4" t="s">
        <v>507</v>
      </c>
      <c r="B33" s="4" t="str">
        <f t="shared" si="0"/>
        <v>Karachi Electronics Co</v>
      </c>
      <c r="C33" s="4" t="s">
        <v>127</v>
      </c>
      <c r="D33" s="4" t="str">
        <f t="shared" si="1"/>
        <v>Karachi Electronics Co - Term Loan</v>
      </c>
      <c r="E33" s="4" t="s">
        <v>508</v>
      </c>
      <c r="F33" s="4" t="str">
        <f t="shared" si="2"/>
        <v>Proposal Sent</v>
      </c>
      <c r="G33" s="4" t="s">
        <v>410</v>
      </c>
      <c r="H33" s="10">
        <v>27229193</v>
      </c>
      <c r="I33" s="4" t="s">
        <v>29</v>
      </c>
      <c r="J33" s="11">
        <f t="shared" si="3"/>
        <v>46087</v>
      </c>
      <c r="K33" s="4" t="s">
        <v>509</v>
      </c>
      <c r="L33" s="4" t="s">
        <v>96</v>
      </c>
      <c r="M33" s="4" t="s">
        <v>7</v>
      </c>
    </row>
    <row r="34" spans="1:13" x14ac:dyDescent="0.25">
      <c r="A34" s="4" t="s">
        <v>510</v>
      </c>
      <c r="B34" s="4" t="str">
        <f t="shared" si="0"/>
        <v>Karachi Electronics Co</v>
      </c>
      <c r="C34" s="4" t="s">
        <v>127</v>
      </c>
      <c r="D34" s="4" t="str">
        <f t="shared" si="1"/>
        <v>Karachi Electronics Co - Term Loan</v>
      </c>
      <c r="E34" s="4" t="s">
        <v>508</v>
      </c>
      <c r="F34" s="4" t="str">
        <f t="shared" si="2"/>
        <v>Qualification</v>
      </c>
      <c r="G34" s="4" t="s">
        <v>435</v>
      </c>
      <c r="H34" s="10">
        <v>34107639</v>
      </c>
      <c r="I34" s="4" t="s">
        <v>29</v>
      </c>
      <c r="J34" s="11">
        <f t="shared" si="3"/>
        <v>45402</v>
      </c>
      <c r="K34" s="4" t="s">
        <v>511</v>
      </c>
      <c r="L34" s="4" t="s">
        <v>75</v>
      </c>
      <c r="M34" s="4" t="s">
        <v>453</v>
      </c>
    </row>
    <row r="35" spans="1:13" x14ac:dyDescent="0.25">
      <c r="A35" s="4" t="s">
        <v>512</v>
      </c>
      <c r="B35" s="4" t="str">
        <f t="shared" si="0"/>
        <v>Millennium Plastics Ltd</v>
      </c>
      <c r="C35" s="4" t="s">
        <v>131</v>
      </c>
      <c r="D35" s="4" t="str">
        <f t="shared" si="1"/>
        <v>Millennium Plastics Ltd - Working Capital Loan</v>
      </c>
      <c r="E35" s="4" t="s">
        <v>513</v>
      </c>
      <c r="F35" s="4" t="str">
        <f t="shared" si="2"/>
        <v>Closed Won</v>
      </c>
      <c r="G35" s="4" t="s">
        <v>426</v>
      </c>
      <c r="H35" s="10">
        <v>30735911</v>
      </c>
      <c r="I35" s="4" t="s">
        <v>29</v>
      </c>
      <c r="J35" s="11">
        <f t="shared" si="3"/>
        <v>45307</v>
      </c>
      <c r="K35" s="4" t="s">
        <v>514</v>
      </c>
      <c r="L35" s="4" t="s">
        <v>96</v>
      </c>
      <c r="M35" s="4" t="s">
        <v>419</v>
      </c>
    </row>
    <row r="36" spans="1:13" x14ac:dyDescent="0.25">
      <c r="A36" s="4" t="s">
        <v>515</v>
      </c>
      <c r="B36" s="4" t="str">
        <f t="shared" si="0"/>
        <v>Millennium Plastics Ltd</v>
      </c>
      <c r="C36" s="4" t="s">
        <v>131</v>
      </c>
      <c r="D36" s="4" t="str">
        <f t="shared" si="1"/>
        <v>Millennium Plastics Ltd - Overdraft Facility</v>
      </c>
      <c r="E36" s="4" t="s">
        <v>516</v>
      </c>
      <c r="F36" s="4" t="str">
        <f t="shared" si="2"/>
        <v>Closed Won</v>
      </c>
      <c r="G36" s="4" t="s">
        <v>426</v>
      </c>
      <c r="H36" s="10">
        <v>17038964</v>
      </c>
      <c r="I36" s="4" t="s">
        <v>29</v>
      </c>
      <c r="J36" s="11">
        <f t="shared" si="3"/>
        <v>46225</v>
      </c>
      <c r="K36" s="4" t="s">
        <v>517</v>
      </c>
      <c r="L36" s="4" t="s">
        <v>55</v>
      </c>
      <c r="M36" s="4" t="s">
        <v>7</v>
      </c>
    </row>
    <row r="37" spans="1:13" x14ac:dyDescent="0.25">
      <c r="A37" s="4" t="s">
        <v>518</v>
      </c>
      <c r="B37" s="4" t="str">
        <f t="shared" si="0"/>
        <v>Millennium Plastics Ltd</v>
      </c>
      <c r="C37" s="4" t="s">
        <v>131</v>
      </c>
      <c r="D37" s="4" t="str">
        <f t="shared" si="1"/>
        <v>Millennium Plastics Ltd - Working Capital Loan</v>
      </c>
      <c r="E37" s="4" t="s">
        <v>513</v>
      </c>
      <c r="F37" s="4" t="str">
        <f t="shared" si="2"/>
        <v>Qualification</v>
      </c>
      <c r="G37" s="4" t="s">
        <v>435</v>
      </c>
      <c r="H37" s="10">
        <v>848645</v>
      </c>
      <c r="I37" s="4" t="s">
        <v>29</v>
      </c>
      <c r="J37" s="11">
        <f t="shared" si="3"/>
        <v>45136</v>
      </c>
      <c r="K37" s="4" t="s">
        <v>519</v>
      </c>
      <c r="L37" s="4" t="s">
        <v>47</v>
      </c>
      <c r="M37" s="4" t="s">
        <v>2</v>
      </c>
    </row>
    <row r="38" spans="1:13" x14ac:dyDescent="0.25">
      <c r="A38" s="4" t="s">
        <v>520</v>
      </c>
      <c r="B38" s="4" t="str">
        <f t="shared" si="0"/>
        <v>Everest Trading Co</v>
      </c>
      <c r="C38" s="4" t="s">
        <v>135</v>
      </c>
      <c r="D38" s="4" t="str">
        <f t="shared" si="1"/>
        <v>Everest Trading Co - Overdraft Facility</v>
      </c>
      <c r="E38" s="4" t="s">
        <v>521</v>
      </c>
      <c r="F38" s="4" t="str">
        <f t="shared" si="2"/>
        <v>Closed Won</v>
      </c>
      <c r="G38" s="4" t="s">
        <v>422</v>
      </c>
      <c r="H38" s="10">
        <v>7431871</v>
      </c>
      <c r="I38" s="4" t="s">
        <v>29</v>
      </c>
      <c r="J38" s="11">
        <f t="shared" si="3"/>
        <v>45715</v>
      </c>
      <c r="K38" s="4" t="s">
        <v>522</v>
      </c>
      <c r="L38" s="4" t="s">
        <v>75</v>
      </c>
      <c r="M38" s="4" t="s">
        <v>419</v>
      </c>
    </row>
    <row r="39" spans="1:13" x14ac:dyDescent="0.25">
      <c r="A39" s="4" t="s">
        <v>523</v>
      </c>
      <c r="B39" s="4" t="str">
        <f t="shared" si="0"/>
        <v>Everest Trading Co</v>
      </c>
      <c r="C39" s="4" t="s">
        <v>135</v>
      </c>
      <c r="D39" s="4" t="str">
        <f t="shared" si="1"/>
        <v>Everest Trading Co - Working Capital Loan</v>
      </c>
      <c r="E39" s="4" t="s">
        <v>524</v>
      </c>
      <c r="F39" s="4" t="str">
        <f t="shared" si="2"/>
        <v>Negotiation</v>
      </c>
      <c r="G39" s="4" t="s">
        <v>462</v>
      </c>
      <c r="H39" s="10">
        <v>38883614</v>
      </c>
      <c r="I39" s="4" t="s">
        <v>29</v>
      </c>
      <c r="J39" s="11">
        <f t="shared" si="3"/>
        <v>45477</v>
      </c>
      <c r="K39" s="4" t="s">
        <v>525</v>
      </c>
      <c r="L39" s="4" t="s">
        <v>75</v>
      </c>
      <c r="M39" s="4" t="s">
        <v>419</v>
      </c>
    </row>
    <row r="40" spans="1:13" x14ac:dyDescent="0.25">
      <c r="A40" s="4" t="s">
        <v>526</v>
      </c>
      <c r="B40" s="4" t="str">
        <f t="shared" si="0"/>
        <v>Everest Trading Co</v>
      </c>
      <c r="C40" s="4" t="s">
        <v>135</v>
      </c>
      <c r="D40" s="4" t="str">
        <f t="shared" si="1"/>
        <v>Everest Trading Co - Working Capital Loan</v>
      </c>
      <c r="E40" s="4" t="s">
        <v>524</v>
      </c>
      <c r="F40" s="4" t="str">
        <f t="shared" si="2"/>
        <v>Proposal Sent</v>
      </c>
      <c r="G40" s="4" t="s">
        <v>410</v>
      </c>
      <c r="H40" s="10">
        <v>29670630</v>
      </c>
      <c r="I40" s="4" t="s">
        <v>29</v>
      </c>
      <c r="J40" s="11">
        <f t="shared" si="3"/>
        <v>45666</v>
      </c>
      <c r="K40" s="4" t="s">
        <v>527</v>
      </c>
      <c r="L40" s="4" t="s">
        <v>69</v>
      </c>
      <c r="M40" s="4" t="s">
        <v>419</v>
      </c>
    </row>
    <row r="41" spans="1:13" x14ac:dyDescent="0.25">
      <c r="A41" s="4" t="s">
        <v>528</v>
      </c>
      <c r="B41" s="4" t="str">
        <f t="shared" si="0"/>
        <v>Skyline Real Estate Developers</v>
      </c>
      <c r="C41" s="4" t="s">
        <v>138</v>
      </c>
      <c r="D41" s="4" t="str">
        <f t="shared" si="1"/>
        <v>Skyline Real Estate Developers - Working Capital Loan</v>
      </c>
      <c r="E41" s="4" t="s">
        <v>529</v>
      </c>
      <c r="F41" s="4" t="str">
        <f t="shared" si="2"/>
        <v>Proposal Sent</v>
      </c>
      <c r="G41" s="4" t="s">
        <v>410</v>
      </c>
      <c r="H41" s="10">
        <v>20945252</v>
      </c>
      <c r="I41" s="4" t="s">
        <v>29</v>
      </c>
      <c r="J41" s="11">
        <f t="shared" si="3"/>
        <v>45601</v>
      </c>
      <c r="K41" s="4" t="s">
        <v>530</v>
      </c>
      <c r="L41" s="4" t="s">
        <v>75</v>
      </c>
      <c r="M41" s="4" t="s">
        <v>419</v>
      </c>
    </row>
    <row r="42" spans="1:13" x14ac:dyDescent="0.25">
      <c r="A42" s="4" t="s">
        <v>531</v>
      </c>
      <c r="B42" s="4" t="str">
        <f t="shared" si="0"/>
        <v>Skyline Real Estate Developers</v>
      </c>
      <c r="C42" s="4" t="s">
        <v>138</v>
      </c>
      <c r="D42" s="4" t="str">
        <f t="shared" si="1"/>
        <v>Skyline Real Estate Developers - Trade Finance</v>
      </c>
      <c r="E42" s="4" t="s">
        <v>532</v>
      </c>
      <c r="F42" s="4" t="str">
        <f t="shared" si="2"/>
        <v>Closed Lost</v>
      </c>
      <c r="G42" s="4" t="s">
        <v>439</v>
      </c>
      <c r="H42" s="10">
        <v>13978915</v>
      </c>
      <c r="I42" s="4" t="s">
        <v>29</v>
      </c>
      <c r="J42" s="11">
        <f t="shared" si="3"/>
        <v>45523</v>
      </c>
      <c r="K42" s="4" t="s">
        <v>533</v>
      </c>
      <c r="L42" s="4" t="s">
        <v>55</v>
      </c>
      <c r="M42" s="4" t="s">
        <v>453</v>
      </c>
    </row>
    <row r="43" spans="1:13" x14ac:dyDescent="0.25">
      <c r="A43" s="4" t="s">
        <v>534</v>
      </c>
      <c r="B43" s="4" t="str">
        <f t="shared" si="0"/>
        <v>Metro Pharma Distributors</v>
      </c>
      <c r="C43" s="4" t="s">
        <v>144</v>
      </c>
      <c r="D43" s="4" t="str">
        <f t="shared" si="1"/>
        <v>Metro Pharma Distributors - Equipment Financing</v>
      </c>
      <c r="E43" s="4" t="s">
        <v>535</v>
      </c>
      <c r="F43" s="4" t="str">
        <f t="shared" si="2"/>
        <v>Closed Won</v>
      </c>
      <c r="G43" s="4" t="s">
        <v>426</v>
      </c>
      <c r="H43" s="10">
        <v>26869430</v>
      </c>
      <c r="I43" s="4" t="s">
        <v>29</v>
      </c>
      <c r="J43" s="11">
        <f t="shared" si="3"/>
        <v>46053</v>
      </c>
      <c r="K43" s="4" t="s">
        <v>536</v>
      </c>
      <c r="L43" s="4" t="s">
        <v>55</v>
      </c>
      <c r="M43" s="4" t="s">
        <v>2</v>
      </c>
    </row>
    <row r="44" spans="1:13" x14ac:dyDescent="0.25">
      <c r="A44" s="4" t="s">
        <v>537</v>
      </c>
      <c r="B44" s="4" t="str">
        <f t="shared" si="0"/>
        <v>Metro Pharma Distributors</v>
      </c>
      <c r="C44" s="4" t="s">
        <v>144</v>
      </c>
      <c r="D44" s="4" t="str">
        <f t="shared" si="1"/>
        <v>Metro Pharma Distributors - Trade Finance</v>
      </c>
      <c r="E44" s="4" t="s">
        <v>538</v>
      </c>
      <c r="F44" s="4" t="str">
        <f t="shared" si="2"/>
        <v>Qualification</v>
      </c>
      <c r="G44" s="4" t="s">
        <v>435</v>
      </c>
      <c r="H44" s="10">
        <v>27957027</v>
      </c>
      <c r="I44" s="4" t="s">
        <v>29</v>
      </c>
      <c r="J44" s="11">
        <f t="shared" si="3"/>
        <v>45444</v>
      </c>
      <c r="K44" s="4" t="s">
        <v>539</v>
      </c>
      <c r="L44" s="4" t="s">
        <v>69</v>
      </c>
      <c r="M44" s="4" t="s">
        <v>419</v>
      </c>
    </row>
    <row r="45" spans="1:13" x14ac:dyDescent="0.25">
      <c r="A45" s="4" t="s">
        <v>540</v>
      </c>
      <c r="B45" s="4" t="str">
        <f t="shared" si="0"/>
        <v>Zenith Apparel Mfg.</v>
      </c>
      <c r="C45" s="4" t="s">
        <v>148</v>
      </c>
      <c r="D45" s="4" t="str">
        <f t="shared" si="1"/>
        <v>Zenith Apparel Mfg. - Equipment Financing</v>
      </c>
      <c r="E45" s="4" t="s">
        <v>541</v>
      </c>
      <c r="F45" s="4" t="str">
        <f t="shared" si="2"/>
        <v>Proposal</v>
      </c>
      <c r="G45" s="4" t="s">
        <v>414</v>
      </c>
      <c r="H45" s="10">
        <v>39573734</v>
      </c>
      <c r="I45" s="4" t="s">
        <v>29</v>
      </c>
      <c r="J45" s="11">
        <f t="shared" si="3"/>
        <v>46040</v>
      </c>
      <c r="K45" s="4" t="s">
        <v>542</v>
      </c>
      <c r="L45" s="4" t="s">
        <v>75</v>
      </c>
      <c r="M45" s="4" t="s">
        <v>453</v>
      </c>
    </row>
    <row r="46" spans="1:13" x14ac:dyDescent="0.25">
      <c r="A46" s="4" t="s">
        <v>543</v>
      </c>
      <c r="B46" s="4" t="str">
        <f t="shared" si="0"/>
        <v>Zenith Apparel Mfg.</v>
      </c>
      <c r="C46" s="4" t="s">
        <v>148</v>
      </c>
      <c r="D46" s="4" t="str">
        <f t="shared" si="1"/>
        <v>Zenith Apparel Mfg. - Working Capital Loan</v>
      </c>
      <c r="E46" s="4" t="s">
        <v>544</v>
      </c>
      <c r="F46" s="4" t="str">
        <f t="shared" si="2"/>
        <v>Negotiation</v>
      </c>
      <c r="G46" s="4" t="s">
        <v>462</v>
      </c>
      <c r="H46" s="10">
        <v>24324238</v>
      </c>
      <c r="I46" s="4" t="s">
        <v>29</v>
      </c>
      <c r="J46" s="11">
        <f t="shared" si="3"/>
        <v>45606</v>
      </c>
      <c r="K46" s="4" t="s">
        <v>545</v>
      </c>
      <c r="L46" s="4" t="s">
        <v>47</v>
      </c>
      <c r="M46" s="4" t="s">
        <v>441</v>
      </c>
    </row>
    <row r="47" spans="1:13" x14ac:dyDescent="0.25">
      <c r="A47" s="4" t="s">
        <v>546</v>
      </c>
      <c r="B47" s="4" t="str">
        <f t="shared" si="0"/>
        <v>Zenith Apparel Mfg.</v>
      </c>
      <c r="C47" s="4" t="s">
        <v>148</v>
      </c>
      <c r="D47" s="4" t="str">
        <f t="shared" si="1"/>
        <v>Zenith Apparel Mfg. - Trade Finance</v>
      </c>
      <c r="E47" s="4" t="s">
        <v>547</v>
      </c>
      <c r="F47" s="4" t="str">
        <f t="shared" si="2"/>
        <v>Negotiation</v>
      </c>
      <c r="G47" s="4" t="s">
        <v>462</v>
      </c>
      <c r="H47" s="10">
        <v>34770902</v>
      </c>
      <c r="I47" s="4" t="s">
        <v>29</v>
      </c>
      <c r="J47" s="11">
        <f t="shared" si="3"/>
        <v>45839</v>
      </c>
      <c r="K47" s="4" t="s">
        <v>548</v>
      </c>
      <c r="L47" s="4" t="s">
        <v>55</v>
      </c>
      <c r="M47" s="4" t="s">
        <v>419</v>
      </c>
    </row>
    <row r="48" spans="1:13" x14ac:dyDescent="0.25">
      <c r="A48" s="4" t="s">
        <v>549</v>
      </c>
      <c r="B48" s="4" t="str">
        <f t="shared" si="0"/>
        <v>Horizon Pharmaceuticals</v>
      </c>
      <c r="C48" s="4" t="s">
        <v>152</v>
      </c>
      <c r="D48" s="4" t="str">
        <f t="shared" si="1"/>
        <v>Horizon Pharmaceuticals - Working Capital Loan</v>
      </c>
      <c r="E48" s="4" t="s">
        <v>550</v>
      </c>
      <c r="F48" s="4" t="str">
        <f t="shared" si="2"/>
        <v>Proposal</v>
      </c>
      <c r="G48" s="4" t="s">
        <v>414</v>
      </c>
      <c r="H48" s="10">
        <v>7516188</v>
      </c>
      <c r="I48" s="4" t="s">
        <v>29</v>
      </c>
      <c r="J48" s="11">
        <f t="shared" si="3"/>
        <v>45217</v>
      </c>
      <c r="K48" s="4" t="s">
        <v>551</v>
      </c>
      <c r="L48" s="4" t="s">
        <v>75</v>
      </c>
      <c r="M48" s="4" t="s">
        <v>7</v>
      </c>
    </row>
    <row r="49" spans="1:13" x14ac:dyDescent="0.25">
      <c r="A49" s="4" t="s">
        <v>552</v>
      </c>
      <c r="B49" s="4" t="str">
        <f t="shared" si="0"/>
        <v>Horizon Pharmaceuticals</v>
      </c>
      <c r="C49" s="4" t="s">
        <v>152</v>
      </c>
      <c r="D49" s="4" t="str">
        <f t="shared" si="1"/>
        <v>Horizon Pharmaceuticals - Term Loan</v>
      </c>
      <c r="E49" s="4" t="s">
        <v>553</v>
      </c>
      <c r="F49" s="4" t="str">
        <f t="shared" si="2"/>
        <v>Proposal</v>
      </c>
      <c r="G49" s="4" t="s">
        <v>414</v>
      </c>
      <c r="H49" s="10">
        <v>23874037</v>
      </c>
      <c r="I49" s="4" t="s">
        <v>29</v>
      </c>
      <c r="J49" s="11">
        <f t="shared" si="3"/>
        <v>45580</v>
      </c>
      <c r="K49" s="4" t="s">
        <v>554</v>
      </c>
      <c r="L49" s="4" t="s">
        <v>75</v>
      </c>
      <c r="M49" s="4" t="s">
        <v>441</v>
      </c>
    </row>
    <row r="50" spans="1:13" x14ac:dyDescent="0.25">
      <c r="A50" s="4" t="s">
        <v>555</v>
      </c>
      <c r="B50" s="4" t="str">
        <f t="shared" si="0"/>
        <v>Prime Motors Ltd</v>
      </c>
      <c r="C50" s="4" t="s">
        <v>156</v>
      </c>
      <c r="D50" s="4" t="str">
        <f t="shared" si="1"/>
        <v>Prime Motors Ltd - Trade Finance</v>
      </c>
      <c r="E50" s="4" t="s">
        <v>556</v>
      </c>
      <c r="F50" s="4" t="str">
        <f t="shared" si="2"/>
        <v>Qualification</v>
      </c>
      <c r="G50" s="4" t="s">
        <v>435</v>
      </c>
      <c r="H50" s="10">
        <v>11529616</v>
      </c>
      <c r="I50" s="4" t="s">
        <v>29</v>
      </c>
      <c r="J50" s="11">
        <f t="shared" si="3"/>
        <v>46114</v>
      </c>
      <c r="K50" s="4" t="s">
        <v>557</v>
      </c>
      <c r="L50" s="4" t="s">
        <v>75</v>
      </c>
      <c r="M50" s="4" t="s">
        <v>453</v>
      </c>
    </row>
    <row r="51" spans="1:13" x14ac:dyDescent="0.25">
      <c r="A51" s="4" t="s">
        <v>558</v>
      </c>
      <c r="B51" s="4" t="str">
        <f t="shared" si="0"/>
        <v>Falcon Foods Processing.</v>
      </c>
      <c r="C51" s="4" t="s">
        <v>160</v>
      </c>
      <c r="D51" s="4" t="str">
        <f t="shared" si="1"/>
        <v>Falcon Foods Processing. - Term Loan</v>
      </c>
      <c r="E51" s="4" t="s">
        <v>559</v>
      </c>
      <c r="F51" s="4" t="str">
        <f t="shared" si="2"/>
        <v>Closed Won</v>
      </c>
      <c r="G51" s="4" t="s">
        <v>422</v>
      </c>
      <c r="H51" s="10">
        <v>12878349</v>
      </c>
      <c r="I51" s="4" t="s">
        <v>29</v>
      </c>
      <c r="J51" s="11">
        <f t="shared" si="3"/>
        <v>46332</v>
      </c>
      <c r="K51" s="4" t="s">
        <v>560</v>
      </c>
      <c r="L51" s="4" t="s">
        <v>55</v>
      </c>
      <c r="M51" s="4" t="s">
        <v>453</v>
      </c>
    </row>
    <row r="52" spans="1:13" x14ac:dyDescent="0.25">
      <c r="A52" s="4" t="s">
        <v>561</v>
      </c>
      <c r="B52" s="4" t="str">
        <f t="shared" si="0"/>
        <v>Falcon Foods Processing.</v>
      </c>
      <c r="C52" s="4" t="s">
        <v>160</v>
      </c>
      <c r="D52" s="4" t="str">
        <f t="shared" si="1"/>
        <v>Falcon Foods Processing. - Equipment Financing</v>
      </c>
      <c r="E52" s="4" t="s">
        <v>562</v>
      </c>
      <c r="F52" s="4" t="str">
        <f t="shared" si="2"/>
        <v>Prospecting</v>
      </c>
      <c r="G52" s="4" t="s">
        <v>476</v>
      </c>
      <c r="H52" s="10">
        <v>14914722</v>
      </c>
      <c r="I52" s="4" t="s">
        <v>29</v>
      </c>
      <c r="J52" s="11">
        <f t="shared" si="3"/>
        <v>46109</v>
      </c>
      <c r="K52" s="4" t="s">
        <v>563</v>
      </c>
      <c r="L52" s="4" t="s">
        <v>96</v>
      </c>
      <c r="M52" s="4" t="s">
        <v>2</v>
      </c>
    </row>
    <row r="53" spans="1:13" x14ac:dyDescent="0.25">
      <c r="A53" s="4" t="s">
        <v>564</v>
      </c>
      <c r="B53" s="4" t="str">
        <f t="shared" si="0"/>
        <v>Falcon Foods Processing.</v>
      </c>
      <c r="C53" s="4" t="s">
        <v>160</v>
      </c>
      <c r="D53" s="4" t="str">
        <f t="shared" si="1"/>
        <v>Falcon Foods Processing. - Trade Finance</v>
      </c>
      <c r="E53" s="4" t="s">
        <v>565</v>
      </c>
      <c r="F53" s="4" t="str">
        <f t="shared" si="2"/>
        <v>Negotiation</v>
      </c>
      <c r="G53" s="4" t="s">
        <v>462</v>
      </c>
      <c r="H53" s="10">
        <v>31205689</v>
      </c>
      <c r="I53" s="4" t="s">
        <v>29</v>
      </c>
      <c r="J53" s="11">
        <f t="shared" si="3"/>
        <v>46149</v>
      </c>
      <c r="K53" s="4" t="s">
        <v>566</v>
      </c>
      <c r="L53" s="4" t="s">
        <v>96</v>
      </c>
      <c r="M53" s="4" t="s">
        <v>419</v>
      </c>
    </row>
    <row r="54" spans="1:13" x14ac:dyDescent="0.25">
      <c r="A54" s="4" t="s">
        <v>567</v>
      </c>
      <c r="B54" s="4" t="str">
        <f t="shared" si="0"/>
        <v>Al Fateh Engineering</v>
      </c>
      <c r="C54" s="4" t="s">
        <v>164</v>
      </c>
      <c r="D54" s="4" t="str">
        <f t="shared" si="1"/>
        <v>Al Fateh Engineering - Trade Finance</v>
      </c>
      <c r="E54" s="4" t="s">
        <v>568</v>
      </c>
      <c r="F54" s="4" t="str">
        <f t="shared" si="2"/>
        <v>Proposal</v>
      </c>
      <c r="G54" s="4" t="s">
        <v>414</v>
      </c>
      <c r="H54" s="10">
        <v>12078125</v>
      </c>
      <c r="I54" s="4" t="s">
        <v>29</v>
      </c>
      <c r="J54" s="11">
        <f t="shared" si="3"/>
        <v>45201</v>
      </c>
      <c r="K54" s="4" t="s">
        <v>569</v>
      </c>
      <c r="L54" s="4" t="s">
        <v>47</v>
      </c>
      <c r="M54" s="4" t="s">
        <v>2</v>
      </c>
    </row>
    <row r="55" spans="1:13" x14ac:dyDescent="0.25">
      <c r="A55" s="4" t="s">
        <v>570</v>
      </c>
      <c r="B55" s="4" t="str">
        <f t="shared" si="0"/>
        <v>Al Habib Textiles Pvt Ltd</v>
      </c>
      <c r="C55" s="4" t="s">
        <v>168</v>
      </c>
      <c r="D55" s="4" t="str">
        <f t="shared" si="1"/>
        <v>Al Habib Textiles Pvt Ltd - Term Loan</v>
      </c>
      <c r="E55" s="4" t="s">
        <v>571</v>
      </c>
      <c r="F55" s="4" t="str">
        <f t="shared" si="2"/>
        <v>Closed Lost</v>
      </c>
      <c r="G55" s="4" t="s">
        <v>439</v>
      </c>
      <c r="H55" s="10">
        <v>9986411</v>
      </c>
      <c r="I55" s="4" t="s">
        <v>29</v>
      </c>
      <c r="J55" s="11">
        <f t="shared" si="3"/>
        <v>45793</v>
      </c>
      <c r="K55" s="4" t="s">
        <v>572</v>
      </c>
      <c r="L55" s="4" t="s">
        <v>55</v>
      </c>
      <c r="M55" s="4" t="s">
        <v>453</v>
      </c>
    </row>
    <row r="56" spans="1:13" x14ac:dyDescent="0.25">
      <c r="A56" s="4" t="s">
        <v>573</v>
      </c>
      <c r="B56" s="4" t="str">
        <f t="shared" si="0"/>
        <v>Al Habib Textiles Pvt Ltd</v>
      </c>
      <c r="C56" s="4" t="s">
        <v>168</v>
      </c>
      <c r="D56" s="4" t="str">
        <f t="shared" si="1"/>
        <v>Al Habib Textiles Pvt Ltd - Overdraft Facility</v>
      </c>
      <c r="E56" s="4" t="s">
        <v>574</v>
      </c>
      <c r="F56" s="4" t="str">
        <f t="shared" si="2"/>
        <v>Proposal Sent</v>
      </c>
      <c r="G56" s="4" t="s">
        <v>410</v>
      </c>
      <c r="H56" s="10">
        <v>33359320</v>
      </c>
      <c r="I56" s="4" t="s">
        <v>29</v>
      </c>
      <c r="J56" s="11">
        <f t="shared" si="3"/>
        <v>46195</v>
      </c>
      <c r="K56" s="4" t="s">
        <v>575</v>
      </c>
      <c r="L56" s="4" t="s">
        <v>75</v>
      </c>
      <c r="M56" s="4" t="s">
        <v>441</v>
      </c>
    </row>
    <row r="57" spans="1:13" x14ac:dyDescent="0.25">
      <c r="A57" s="4" t="s">
        <v>576</v>
      </c>
      <c r="B57" s="4" t="str">
        <f t="shared" si="0"/>
        <v>Metro Retail Group</v>
      </c>
      <c r="C57" s="4" t="s">
        <v>172</v>
      </c>
      <c r="D57" s="4" t="str">
        <f t="shared" si="1"/>
        <v>Metro Retail Group - Term Loan</v>
      </c>
      <c r="E57" s="4" t="s">
        <v>577</v>
      </c>
      <c r="F57" s="4" t="str">
        <f t="shared" si="2"/>
        <v>Closed Won</v>
      </c>
      <c r="G57" s="4" t="s">
        <v>422</v>
      </c>
      <c r="H57" s="10">
        <v>38187135</v>
      </c>
      <c r="I57" s="4" t="s">
        <v>29</v>
      </c>
      <c r="J57" s="11">
        <f t="shared" si="3"/>
        <v>45778</v>
      </c>
      <c r="K57" s="4" t="s">
        <v>432</v>
      </c>
      <c r="L57" s="4" t="s">
        <v>55</v>
      </c>
      <c r="M57" s="4" t="s">
        <v>419</v>
      </c>
    </row>
    <row r="58" spans="1:13" x14ac:dyDescent="0.25">
      <c r="A58" s="4" t="s">
        <v>578</v>
      </c>
      <c r="B58" s="4" t="str">
        <f t="shared" si="0"/>
        <v>Metro Retail Group</v>
      </c>
      <c r="C58" s="4" t="s">
        <v>172</v>
      </c>
      <c r="D58" s="4" t="str">
        <f t="shared" si="1"/>
        <v>Metro Retail Group - Working Capital Loan</v>
      </c>
      <c r="E58" s="4" t="s">
        <v>579</v>
      </c>
      <c r="F58" s="4" t="str">
        <f t="shared" si="2"/>
        <v>Prospecting</v>
      </c>
      <c r="G58" s="4" t="s">
        <v>476</v>
      </c>
      <c r="H58" s="10">
        <v>15299484</v>
      </c>
      <c r="I58" s="4" t="s">
        <v>29</v>
      </c>
      <c r="J58" s="11">
        <f t="shared" si="3"/>
        <v>45271</v>
      </c>
      <c r="K58" s="4" t="s">
        <v>580</v>
      </c>
      <c r="L58" s="4" t="s">
        <v>96</v>
      </c>
      <c r="M58" s="4" t="s">
        <v>419</v>
      </c>
    </row>
    <row r="59" spans="1:13" x14ac:dyDescent="0.25">
      <c r="A59" s="4" t="s">
        <v>581</v>
      </c>
      <c r="B59" s="4" t="str">
        <f t="shared" si="0"/>
        <v>Metro Retail Group</v>
      </c>
      <c r="C59" s="4" t="s">
        <v>172</v>
      </c>
      <c r="D59" s="4" t="str">
        <f t="shared" si="1"/>
        <v>Metro Retail Group - Overdraft Facility</v>
      </c>
      <c r="E59" s="4" t="s">
        <v>582</v>
      </c>
      <c r="F59" s="4" t="str">
        <f t="shared" si="2"/>
        <v>Qualification</v>
      </c>
      <c r="G59" s="4" t="s">
        <v>435</v>
      </c>
      <c r="H59" s="10">
        <v>18477720</v>
      </c>
      <c r="I59" s="4" t="s">
        <v>29</v>
      </c>
      <c r="J59" s="11">
        <f t="shared" si="3"/>
        <v>45830</v>
      </c>
      <c r="K59" s="4" t="s">
        <v>583</v>
      </c>
      <c r="L59" s="4" t="s">
        <v>69</v>
      </c>
      <c r="M59" s="4" t="s">
        <v>419</v>
      </c>
    </row>
    <row r="60" spans="1:13" x14ac:dyDescent="0.25">
      <c r="A60" s="4" t="s">
        <v>584</v>
      </c>
      <c r="B60" s="4" t="str">
        <f t="shared" si="0"/>
        <v>Falcon Foods Processing</v>
      </c>
      <c r="C60" s="4" t="s">
        <v>177</v>
      </c>
      <c r="D60" s="4" t="str">
        <f t="shared" si="1"/>
        <v>Falcon Foods Processing - Trade Finance</v>
      </c>
      <c r="E60" s="4" t="s">
        <v>585</v>
      </c>
      <c r="F60" s="4" t="str">
        <f t="shared" si="2"/>
        <v>Prospecting</v>
      </c>
      <c r="G60" s="4" t="s">
        <v>476</v>
      </c>
      <c r="H60" s="10">
        <v>30681026</v>
      </c>
      <c r="I60" s="4" t="s">
        <v>29</v>
      </c>
      <c r="J60" s="11">
        <f t="shared" si="3"/>
        <v>45167</v>
      </c>
      <c r="K60" s="4" t="s">
        <v>586</v>
      </c>
      <c r="L60" s="4" t="s">
        <v>69</v>
      </c>
      <c r="M60" s="4" t="s">
        <v>453</v>
      </c>
    </row>
    <row r="61" spans="1:13" x14ac:dyDescent="0.25">
      <c r="A61" s="4" t="s">
        <v>587</v>
      </c>
      <c r="B61" s="4" t="str">
        <f t="shared" si="0"/>
        <v>Pearl Continental Exports</v>
      </c>
      <c r="C61" s="4" t="s">
        <v>180</v>
      </c>
      <c r="D61" s="4" t="str">
        <f t="shared" si="1"/>
        <v>Pearl Continental Exports - Term Loan</v>
      </c>
      <c r="E61" s="4" t="s">
        <v>588</v>
      </c>
      <c r="F61" s="4" t="str">
        <f t="shared" si="2"/>
        <v>Proposal Sent</v>
      </c>
      <c r="G61" s="4" t="s">
        <v>410</v>
      </c>
      <c r="H61" s="10">
        <v>14366010</v>
      </c>
      <c r="I61" s="4" t="s">
        <v>29</v>
      </c>
      <c r="J61" s="11">
        <f t="shared" si="3"/>
        <v>46017</v>
      </c>
      <c r="K61" s="4" t="s">
        <v>589</v>
      </c>
      <c r="L61" s="4" t="s">
        <v>96</v>
      </c>
      <c r="M61" s="4" t="s">
        <v>453</v>
      </c>
    </row>
    <row r="62" spans="1:13" x14ac:dyDescent="0.25">
      <c r="A62" s="4" t="s">
        <v>590</v>
      </c>
      <c r="B62" s="4" t="str">
        <f t="shared" si="0"/>
        <v>Pearl Continental Exports</v>
      </c>
      <c r="C62" s="4" t="s">
        <v>180</v>
      </c>
      <c r="D62" s="4" t="str">
        <f t="shared" si="1"/>
        <v>Pearl Continental Exports - Trade Finance</v>
      </c>
      <c r="E62" s="4" t="s">
        <v>591</v>
      </c>
      <c r="F62" s="4" t="str">
        <f t="shared" si="2"/>
        <v>Closed Won</v>
      </c>
      <c r="G62" s="4" t="s">
        <v>426</v>
      </c>
      <c r="H62" s="10">
        <v>19916825</v>
      </c>
      <c r="I62" s="4" t="s">
        <v>29</v>
      </c>
      <c r="J62" s="11">
        <f t="shared" si="3"/>
        <v>45204</v>
      </c>
      <c r="K62" s="4" t="s">
        <v>592</v>
      </c>
      <c r="L62" s="4" t="s">
        <v>47</v>
      </c>
      <c r="M62" s="4" t="s">
        <v>7</v>
      </c>
    </row>
    <row r="63" spans="1:13" x14ac:dyDescent="0.25">
      <c r="A63" s="4" t="s">
        <v>593</v>
      </c>
      <c r="B63" s="4" t="str">
        <f t="shared" si="0"/>
        <v>National Grain Traders</v>
      </c>
      <c r="C63" s="4" t="s">
        <v>184</v>
      </c>
      <c r="D63" s="4" t="str">
        <f t="shared" si="1"/>
        <v>National Grain Traders - Term Loan</v>
      </c>
      <c r="E63" s="4" t="s">
        <v>594</v>
      </c>
      <c r="F63" s="4" t="str">
        <f t="shared" si="2"/>
        <v>Proposal Sent</v>
      </c>
      <c r="G63" s="4" t="s">
        <v>410</v>
      </c>
      <c r="H63" s="10">
        <v>22115544</v>
      </c>
      <c r="I63" s="4" t="s">
        <v>29</v>
      </c>
      <c r="J63" s="11">
        <f t="shared" si="3"/>
        <v>45929</v>
      </c>
      <c r="K63" s="4" t="s">
        <v>595</v>
      </c>
      <c r="L63" s="4" t="s">
        <v>96</v>
      </c>
      <c r="M63" s="4" t="s">
        <v>7</v>
      </c>
    </row>
    <row r="64" spans="1:13" x14ac:dyDescent="0.25">
      <c r="A64" s="4" t="s">
        <v>596</v>
      </c>
      <c r="B64" s="4" t="str">
        <f t="shared" si="0"/>
        <v>National Grain Traders</v>
      </c>
      <c r="C64" s="4" t="s">
        <v>184</v>
      </c>
      <c r="D64" s="4" t="str">
        <f t="shared" si="1"/>
        <v>National Grain Traders - Equipment Financing</v>
      </c>
      <c r="E64" s="4" t="s">
        <v>597</v>
      </c>
      <c r="F64" s="4" t="str">
        <f t="shared" si="2"/>
        <v>Proposal</v>
      </c>
      <c r="G64" s="4" t="s">
        <v>414</v>
      </c>
      <c r="H64" s="10">
        <v>5567811</v>
      </c>
      <c r="I64" s="4" t="s">
        <v>29</v>
      </c>
      <c r="J64" s="11">
        <f t="shared" si="3"/>
        <v>45982</v>
      </c>
      <c r="K64" s="4" t="s">
        <v>598</v>
      </c>
      <c r="L64" s="4" t="s">
        <v>75</v>
      </c>
      <c r="M64" s="4" t="s">
        <v>7</v>
      </c>
    </row>
    <row r="65" spans="1:13" x14ac:dyDescent="0.25">
      <c r="A65" s="4" t="s">
        <v>599</v>
      </c>
      <c r="B65" s="4" t="str">
        <f t="shared" si="0"/>
        <v>Everest Trading Co</v>
      </c>
      <c r="C65" s="4" t="s">
        <v>188</v>
      </c>
      <c r="D65" s="4" t="str">
        <f t="shared" si="1"/>
        <v>Everest Trading Co - Trade Finance</v>
      </c>
      <c r="E65" s="4" t="s">
        <v>600</v>
      </c>
      <c r="F65" s="4" t="str">
        <f t="shared" si="2"/>
        <v>Prospecting</v>
      </c>
      <c r="G65" s="4" t="s">
        <v>476</v>
      </c>
      <c r="H65" s="10">
        <v>6750630</v>
      </c>
      <c r="I65" s="4" t="s">
        <v>29</v>
      </c>
      <c r="J65" s="11">
        <f t="shared" si="3"/>
        <v>45056</v>
      </c>
      <c r="K65" s="4" t="s">
        <v>601</v>
      </c>
      <c r="L65" s="4" t="s">
        <v>55</v>
      </c>
      <c r="M65" s="4" t="s">
        <v>2</v>
      </c>
    </row>
    <row r="66" spans="1:13" x14ac:dyDescent="0.25">
      <c r="A66" s="4" t="s">
        <v>602</v>
      </c>
      <c r="B66" s="4" t="str">
        <f t="shared" ref="B66:B76" si="4">PROPER(TRIM(C66))</f>
        <v>Everest Trading Co</v>
      </c>
      <c r="C66" s="4" t="s">
        <v>188</v>
      </c>
      <c r="D66" s="4" t="str">
        <f t="shared" ref="D66:D76" si="5">PROPER(TRIM(E66))</f>
        <v>Everest Trading Co - Term Loan</v>
      </c>
      <c r="E66" s="4" t="s">
        <v>603</v>
      </c>
      <c r="F66" s="4" t="str">
        <f t="shared" ref="F66:F76" si="6">PROPER(TRIM(G66))</f>
        <v>Proposal</v>
      </c>
      <c r="G66" s="4" t="s">
        <v>414</v>
      </c>
      <c r="H66" s="10">
        <v>18521202</v>
      </c>
      <c r="I66" s="4" t="s">
        <v>29</v>
      </c>
      <c r="J66" s="11">
        <f t="shared" si="3"/>
        <v>46086</v>
      </c>
      <c r="K66" s="4" t="s">
        <v>604</v>
      </c>
      <c r="L66" s="4" t="s">
        <v>75</v>
      </c>
      <c r="M66" s="4" t="s">
        <v>441</v>
      </c>
    </row>
    <row r="67" spans="1:13" x14ac:dyDescent="0.25">
      <c r="A67" s="4" t="s">
        <v>605</v>
      </c>
      <c r="B67" s="4" t="str">
        <f t="shared" si="4"/>
        <v>Everest Trading Co</v>
      </c>
      <c r="C67" s="4" t="s">
        <v>188</v>
      </c>
      <c r="D67" s="4" t="str">
        <f t="shared" si="5"/>
        <v>Everest Trading Co - Working Capital Loan</v>
      </c>
      <c r="E67" s="4" t="s">
        <v>524</v>
      </c>
      <c r="F67" s="4" t="str">
        <f t="shared" si="6"/>
        <v>Proposal</v>
      </c>
      <c r="G67" s="4" t="s">
        <v>414</v>
      </c>
      <c r="H67" s="10">
        <v>1592623</v>
      </c>
      <c r="I67" s="4" t="s">
        <v>29</v>
      </c>
      <c r="J67" s="11">
        <f t="shared" ref="J67:J76" si="7">IF(ISNUMBER(K67),K67,IFERROR(DATEVALUE(K67),IFERROR(DATE(VALUE(RIGHT(K67,4)),VALUE(MID(K67,4,2)),VALUE(LEFT(K67,2))),"")))</f>
        <v>44928</v>
      </c>
      <c r="K67" s="4" t="s">
        <v>606</v>
      </c>
      <c r="L67" s="4" t="s">
        <v>69</v>
      </c>
      <c r="M67" s="4" t="s">
        <v>2</v>
      </c>
    </row>
    <row r="68" spans="1:13" x14ac:dyDescent="0.25">
      <c r="A68" s="4" t="s">
        <v>607</v>
      </c>
      <c r="B68" s="4" t="str">
        <f t="shared" si="4"/>
        <v>Gulf Star Trading Co</v>
      </c>
      <c r="C68" s="4" t="s">
        <v>190</v>
      </c>
      <c r="D68" s="4" t="str">
        <f t="shared" si="5"/>
        <v>Gulf Star Trading Co - Trade Finance</v>
      </c>
      <c r="E68" s="4" t="s">
        <v>608</v>
      </c>
      <c r="F68" s="4" t="str">
        <f t="shared" si="6"/>
        <v>Qualification</v>
      </c>
      <c r="G68" s="4" t="s">
        <v>435</v>
      </c>
      <c r="H68" s="10">
        <v>24688409</v>
      </c>
      <c r="I68" s="4" t="s">
        <v>29</v>
      </c>
      <c r="J68" s="11">
        <f t="shared" si="7"/>
        <v>45033</v>
      </c>
      <c r="K68" s="4" t="s">
        <v>609</v>
      </c>
      <c r="L68" s="4" t="s">
        <v>75</v>
      </c>
      <c r="M68" s="4" t="s">
        <v>2</v>
      </c>
    </row>
    <row r="69" spans="1:13" x14ac:dyDescent="0.25">
      <c r="A69" s="4" t="s">
        <v>610</v>
      </c>
      <c r="B69" s="4" t="str">
        <f t="shared" si="4"/>
        <v>Gulf Star Trading Co</v>
      </c>
      <c r="C69" s="4" t="s">
        <v>190</v>
      </c>
      <c r="D69" s="4" t="str">
        <f t="shared" si="5"/>
        <v>Gulf Star Trading Co - Working Capital Loan</v>
      </c>
      <c r="E69" s="4" t="s">
        <v>611</v>
      </c>
      <c r="F69" s="4" t="str">
        <f t="shared" si="6"/>
        <v>Qualification</v>
      </c>
      <c r="G69" s="4" t="s">
        <v>435</v>
      </c>
      <c r="H69" s="10">
        <v>572900</v>
      </c>
      <c r="I69" s="4" t="s">
        <v>29</v>
      </c>
      <c r="J69" s="11">
        <f t="shared" si="7"/>
        <v>45990</v>
      </c>
      <c r="K69" s="4" t="s">
        <v>612</v>
      </c>
      <c r="L69" s="4" t="s">
        <v>55</v>
      </c>
      <c r="M69" s="4" t="s">
        <v>441</v>
      </c>
    </row>
    <row r="70" spans="1:13" x14ac:dyDescent="0.25">
      <c r="A70" s="4" t="s">
        <v>613</v>
      </c>
      <c r="B70" s="4" t="str">
        <f t="shared" si="4"/>
        <v>Silver Line Construction Co.</v>
      </c>
      <c r="C70" s="4" t="s">
        <v>194</v>
      </c>
      <c r="D70" s="4" t="str">
        <f t="shared" si="5"/>
        <v>Silver Line Construction Co. - Working Capital Loan</v>
      </c>
      <c r="E70" s="4" t="s">
        <v>614</v>
      </c>
      <c r="F70" s="4" t="str">
        <f t="shared" si="6"/>
        <v>Closed Won</v>
      </c>
      <c r="G70" s="4" t="s">
        <v>422</v>
      </c>
      <c r="H70" s="10">
        <v>9370124</v>
      </c>
      <c r="I70" s="4" t="s">
        <v>29</v>
      </c>
      <c r="J70" s="11">
        <f t="shared" si="7"/>
        <v>45138</v>
      </c>
      <c r="K70" s="4" t="s">
        <v>615</v>
      </c>
      <c r="L70" s="4" t="s">
        <v>75</v>
      </c>
      <c r="M70" s="4" t="s">
        <v>7</v>
      </c>
    </row>
    <row r="71" spans="1:13" x14ac:dyDescent="0.25">
      <c r="A71" s="4" t="s">
        <v>616</v>
      </c>
      <c r="B71" s="4" t="str">
        <f t="shared" si="4"/>
        <v>Coastal Shipping Services</v>
      </c>
      <c r="C71" s="4" t="s">
        <v>199</v>
      </c>
      <c r="D71" s="4" t="str">
        <f t="shared" si="5"/>
        <v>Coastal Shipping Services - Term Loan</v>
      </c>
      <c r="E71" s="4" t="s">
        <v>617</v>
      </c>
      <c r="F71" s="4" t="str">
        <f t="shared" si="6"/>
        <v>Proposal Sent</v>
      </c>
      <c r="G71" s="4" t="s">
        <v>410</v>
      </c>
      <c r="H71" s="10">
        <v>5091025</v>
      </c>
      <c r="I71" s="4" t="s">
        <v>29</v>
      </c>
      <c r="J71" s="11">
        <f t="shared" si="7"/>
        <v>45828</v>
      </c>
      <c r="K71" s="4" t="s">
        <v>618</v>
      </c>
      <c r="L71" s="4" t="s">
        <v>69</v>
      </c>
      <c r="M71" s="4" t="s">
        <v>2</v>
      </c>
    </row>
    <row r="72" spans="1:13" x14ac:dyDescent="0.25">
      <c r="A72" s="4" t="s">
        <v>619</v>
      </c>
      <c r="B72" s="4" t="str">
        <f t="shared" si="4"/>
        <v>Coastal Shipping Services</v>
      </c>
      <c r="C72" s="4" t="s">
        <v>199</v>
      </c>
      <c r="D72" s="4" t="str">
        <f t="shared" si="5"/>
        <v>Coastal Shipping Services - Overdraft Facility</v>
      </c>
      <c r="E72" s="4" t="s">
        <v>620</v>
      </c>
      <c r="F72" s="4" t="str">
        <f t="shared" si="6"/>
        <v>Proposal</v>
      </c>
      <c r="G72" s="4" t="s">
        <v>414</v>
      </c>
      <c r="H72" s="10">
        <v>15079043</v>
      </c>
      <c r="I72" s="4" t="s">
        <v>29</v>
      </c>
      <c r="J72" s="11">
        <f t="shared" si="7"/>
        <v>46134</v>
      </c>
      <c r="K72" s="4" t="s">
        <v>621</v>
      </c>
      <c r="L72" s="4" t="s">
        <v>55</v>
      </c>
      <c r="M72" s="4" t="s">
        <v>7</v>
      </c>
    </row>
    <row r="73" spans="1:13" x14ac:dyDescent="0.25">
      <c r="A73" s="4" t="s">
        <v>622</v>
      </c>
      <c r="B73" s="4" t="str">
        <f t="shared" si="4"/>
        <v>Karachi Electronics Co.</v>
      </c>
      <c r="C73" s="4" t="s">
        <v>203</v>
      </c>
      <c r="D73" s="4" t="str">
        <f t="shared" si="5"/>
        <v>Karachi Electronics Co. - Term Loan</v>
      </c>
      <c r="E73" s="4" t="s">
        <v>623</v>
      </c>
      <c r="F73" s="4" t="str">
        <f t="shared" si="6"/>
        <v>Negotiation</v>
      </c>
      <c r="G73" s="4" t="s">
        <v>462</v>
      </c>
      <c r="H73" s="10">
        <v>19086984</v>
      </c>
      <c r="I73" s="4" t="s">
        <v>29</v>
      </c>
      <c r="J73" s="11">
        <f t="shared" si="7"/>
        <v>44981</v>
      </c>
      <c r="K73" s="4" t="s">
        <v>624</v>
      </c>
      <c r="L73" s="4" t="s">
        <v>75</v>
      </c>
      <c r="M73" s="4" t="s">
        <v>2</v>
      </c>
    </row>
    <row r="74" spans="1:13" x14ac:dyDescent="0.25">
      <c r="A74" s="4" t="s">
        <v>625</v>
      </c>
      <c r="B74" s="4" t="str">
        <f t="shared" si="4"/>
        <v>Karachi Electronics Co.</v>
      </c>
      <c r="C74" s="4" t="s">
        <v>203</v>
      </c>
      <c r="D74" s="4" t="str">
        <f t="shared" si="5"/>
        <v>Karachi Electronics Co. - Equipment Financing</v>
      </c>
      <c r="E74" s="4" t="s">
        <v>626</v>
      </c>
      <c r="F74" s="4" t="str">
        <f t="shared" si="6"/>
        <v>Closed Won</v>
      </c>
      <c r="G74" s="4" t="s">
        <v>426</v>
      </c>
      <c r="H74" s="10">
        <v>4162072</v>
      </c>
      <c r="I74" s="4" t="s">
        <v>29</v>
      </c>
      <c r="J74" s="11">
        <f t="shared" si="7"/>
        <v>45717</v>
      </c>
      <c r="K74" s="4" t="s">
        <v>627</v>
      </c>
      <c r="L74" s="4" t="s">
        <v>69</v>
      </c>
      <c r="M74" s="4" t="s">
        <v>419</v>
      </c>
    </row>
    <row r="75" spans="1:13" x14ac:dyDescent="0.25">
      <c r="A75" s="4" t="s">
        <v>628</v>
      </c>
      <c r="B75" s="4" t="str">
        <f t="shared" si="4"/>
        <v>Karachi Electronics Co.</v>
      </c>
      <c r="C75" s="4" t="s">
        <v>203</v>
      </c>
      <c r="D75" s="4" t="str">
        <f t="shared" si="5"/>
        <v>Karachi Electronics Co. - Overdraft Facility</v>
      </c>
      <c r="E75" s="4" t="s">
        <v>629</v>
      </c>
      <c r="F75" s="4" t="str">
        <f t="shared" si="6"/>
        <v>Prospecting</v>
      </c>
      <c r="G75" s="4" t="s">
        <v>476</v>
      </c>
      <c r="H75" s="10">
        <v>24732890</v>
      </c>
      <c r="I75" s="4" t="s">
        <v>29</v>
      </c>
      <c r="J75" s="11">
        <f t="shared" si="7"/>
        <v>45675</v>
      </c>
      <c r="K75" s="4" t="s">
        <v>630</v>
      </c>
      <c r="L75" s="4" t="s">
        <v>69</v>
      </c>
      <c r="M75" s="4" t="s">
        <v>419</v>
      </c>
    </row>
    <row r="76" spans="1:13" x14ac:dyDescent="0.25">
      <c r="A76" s="4" t="s">
        <v>631</v>
      </c>
      <c r="B76" s="4" t="str">
        <f t="shared" si="4"/>
        <v>Punjab Dairy Farms</v>
      </c>
      <c r="C76" s="4" t="s">
        <v>206</v>
      </c>
      <c r="D76" s="4" t="str">
        <f t="shared" si="5"/>
        <v>Punjab Dairy Farms - Overdraft Facility</v>
      </c>
      <c r="E76" s="4" t="s">
        <v>632</v>
      </c>
      <c r="F76" s="4" t="str">
        <f t="shared" si="6"/>
        <v>Qualification</v>
      </c>
      <c r="G76" s="4" t="s">
        <v>435</v>
      </c>
      <c r="H76" s="10">
        <v>1425661</v>
      </c>
      <c r="I76" s="4" t="s">
        <v>29</v>
      </c>
      <c r="J76" s="11">
        <f t="shared" si="7"/>
        <v>45964</v>
      </c>
      <c r="K76" s="4" t="s">
        <v>633</v>
      </c>
      <c r="L76" s="4" t="s">
        <v>96</v>
      </c>
      <c r="M76" s="4" t="s">
        <v>419</v>
      </c>
    </row>
  </sheetData>
  <autoFilter ref="A1:M76" xr:uid="{00000000-0009-0000-0000-000004000000}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32"/>
  <sheetViews>
    <sheetView topLeftCell="B1" workbookViewId="0">
      <pane ySplit="1" topLeftCell="A2" activePane="bottomLeft" state="frozen"/>
      <selection pane="bottomLeft" activeCell="L2" sqref="L2"/>
    </sheetView>
  </sheetViews>
  <sheetFormatPr defaultRowHeight="15" x14ac:dyDescent="0.25"/>
  <cols>
    <col min="1" max="1" width="14" customWidth="1"/>
    <col min="2" max="2" width="28.42578125" customWidth="1"/>
    <col min="3" max="3" width="33" hidden="1" customWidth="1"/>
    <col min="4" max="4" width="21" customWidth="1"/>
    <col min="5" max="5" width="13" hidden="1" customWidth="1"/>
    <col min="6" max="6" width="12" customWidth="1"/>
    <col min="7" max="7" width="10" customWidth="1"/>
    <col min="8" max="8" width="17.140625" customWidth="1"/>
    <col min="9" max="9" width="16" hidden="1" customWidth="1"/>
    <col min="10" max="10" width="24.42578125" customWidth="1"/>
    <col min="11" max="11" width="23" hidden="1" customWidth="1"/>
    <col min="12" max="12" width="19.7109375" customWidth="1"/>
    <col min="13" max="13" width="20" hidden="1" customWidth="1"/>
  </cols>
  <sheetData>
    <row r="1" spans="1:13" x14ac:dyDescent="0.25">
      <c r="A1" s="3" t="s">
        <v>634</v>
      </c>
      <c r="B1" s="3" t="s">
        <v>635</v>
      </c>
      <c r="C1" s="3" t="s">
        <v>635</v>
      </c>
      <c r="D1" s="3" t="s">
        <v>636</v>
      </c>
      <c r="E1" s="3" t="s">
        <v>636</v>
      </c>
      <c r="F1" s="3" t="s">
        <v>637</v>
      </c>
      <c r="G1" s="3" t="s">
        <v>638</v>
      </c>
      <c r="H1" s="3" t="s">
        <v>36</v>
      </c>
      <c r="I1" s="3" t="s">
        <v>36</v>
      </c>
      <c r="J1" s="3" t="s">
        <v>213</v>
      </c>
      <c r="K1" s="3" t="s">
        <v>213</v>
      </c>
      <c r="L1" s="3" t="s">
        <v>639</v>
      </c>
      <c r="M1" s="3" t="s">
        <v>639</v>
      </c>
    </row>
    <row r="2" spans="1:13" x14ac:dyDescent="0.25">
      <c r="A2" s="4" t="s">
        <v>640</v>
      </c>
      <c r="B2" s="4" t="str">
        <f>PROPER(TRIM(C2))</f>
        <v>Skyline Real Estate Dev.</v>
      </c>
      <c r="C2" s="4" t="s">
        <v>641</v>
      </c>
      <c r="D2" s="4" t="str">
        <f>IF(E2="","N/A",E2)</f>
        <v>NTN-2488575</v>
      </c>
      <c r="E2" s="4" t="s">
        <v>642</v>
      </c>
      <c r="F2" s="4" t="s">
        <v>140</v>
      </c>
      <c r="G2" s="4" t="s">
        <v>45</v>
      </c>
      <c r="H2" s="4" t="str">
        <f>_xlfn.LET(_xlpm.clean, SUBSTITUTE(SUBSTITUTE(SUBSTITUTE(SUBSTITUTE(TRIM(I2)," ",""),"-",""),"(",""),")",""),
     _xlpm.converted, IF(LEFT(_xlpm.clean,3)="+92","0"&amp;MID(_xlpm.clean,4,20),
                 IF(LEFT(_xlpm.clean,2)="92","0"&amp;MID(_xlpm.clean,3,20),
                    _xlpm.clean)),
     IF(TRIM(I2)="","N/A",
        IF(LEN(_xlpm.converted)&gt;=10, _xlpm.converted, "N/A")))</f>
        <v>0325704331</v>
      </c>
      <c r="I2" s="4" t="s">
        <v>643</v>
      </c>
      <c r="J2" s="4" t="str">
        <f>IF(K2="","N/A",K2)</f>
        <v>N/A</v>
      </c>
      <c r="K2" s="4"/>
      <c r="L2" s="11">
        <f>IF(ISNUMBER(M2),M2,IFERROR(DATEVALUE(M2),IFERROR(DATE(VALUE(RIGHT(M2,4)),VALUE(MID(M2,4,2)),VALUE(LEFT(M2,2))),"")))</f>
        <v>45459</v>
      </c>
      <c r="M2" s="4" t="s">
        <v>644</v>
      </c>
    </row>
    <row r="3" spans="1:13" x14ac:dyDescent="0.25">
      <c r="A3" s="4" t="s">
        <v>645</v>
      </c>
      <c r="B3" s="4" t="str">
        <f t="shared" ref="B3:B32" si="0">PROPER(TRIM(C3))</f>
        <v>Millennium Plastic'S</v>
      </c>
      <c r="C3" s="4" t="s">
        <v>646</v>
      </c>
      <c r="D3" s="4" t="str">
        <f t="shared" ref="D3:D32" si="1">IF(E3="","N/A",E3)</f>
        <v>NTN-7569981</v>
      </c>
      <c r="E3" s="4" t="s">
        <v>647</v>
      </c>
      <c r="F3" s="4" t="s">
        <v>53</v>
      </c>
      <c r="G3" s="4" t="s">
        <v>45</v>
      </c>
      <c r="H3" s="4" t="str">
        <f t="shared" ref="H3:H32" si="2">_xlfn.LET(_xlpm.clean, SUBSTITUTE(SUBSTITUTE(SUBSTITUTE(SUBSTITUTE(TRIM(I3)," ",""),"-",""),"(",""),")",""),
     _xlpm.converted, IF(LEFT(_xlpm.clean,3)="+92","0"&amp;MID(_xlpm.clean,4,20),
                 IF(LEFT(_xlpm.clean,2)="92","0"&amp;MID(_xlpm.clean,3,20),
                    _xlpm.clean)),
     IF(TRIM(I3)="","N/A",
        IF(LEN(_xlpm.converted)&gt;=10, _xlpm.converted, "N/A")))</f>
        <v>0509029593</v>
      </c>
      <c r="I3" s="4" t="s">
        <v>648</v>
      </c>
      <c r="J3" s="4" t="str">
        <f t="shared" ref="J3:J32" si="3">IF(K3="","N/A",K3)</f>
        <v>info@millenniumpl.com</v>
      </c>
      <c r="K3" s="4" t="s">
        <v>649</v>
      </c>
      <c r="L3" s="11">
        <f t="shared" ref="L3:L32" si="4">IF(ISNUMBER(M3),M3,IFERROR(DATEVALUE(M3),IFERROR(DATE(VALUE(RIGHT(M3,4)),VALUE(MID(M3,4,2)),VALUE(LEFT(M3,2))),"")))</f>
        <v>45049</v>
      </c>
      <c r="M3" s="4" t="s">
        <v>650</v>
      </c>
    </row>
    <row r="4" spans="1:13" x14ac:dyDescent="0.25">
      <c r="A4" s="4" t="s">
        <v>651</v>
      </c>
      <c r="B4" s="4" t="str">
        <f t="shared" si="0"/>
        <v>National Grain Trdrs.</v>
      </c>
      <c r="C4" s="4" t="s">
        <v>652</v>
      </c>
      <c r="D4" s="4" t="str">
        <f t="shared" si="1"/>
        <v>NTN-2743975</v>
      </c>
      <c r="E4" s="4" t="s">
        <v>653</v>
      </c>
      <c r="F4" s="4" t="s">
        <v>44</v>
      </c>
      <c r="G4" s="4" t="s">
        <v>45</v>
      </c>
      <c r="H4" s="4" t="str">
        <f t="shared" si="2"/>
        <v>N/A</v>
      </c>
      <c r="I4" s="4" t="s">
        <v>112</v>
      </c>
      <c r="J4" s="4" t="str">
        <f t="shared" si="3"/>
        <v>info@nationalgrai.com</v>
      </c>
      <c r="K4" s="4" t="s">
        <v>654</v>
      </c>
      <c r="L4" s="11">
        <f t="shared" si="4"/>
        <v>45324</v>
      </c>
      <c r="M4" s="4" t="s">
        <v>655</v>
      </c>
    </row>
    <row r="5" spans="1:13" x14ac:dyDescent="0.25">
      <c r="A5" s="4" t="s">
        <v>656</v>
      </c>
      <c r="B5" s="4" t="str">
        <f t="shared" si="0"/>
        <v>Falcon Foods Pvt. Ltd.</v>
      </c>
      <c r="C5" s="4" t="s">
        <v>657</v>
      </c>
      <c r="D5" s="4" t="str">
        <f t="shared" si="1"/>
        <v>NTN-1770553</v>
      </c>
      <c r="E5" s="4" t="s">
        <v>658</v>
      </c>
      <c r="F5" s="4" t="s">
        <v>61</v>
      </c>
      <c r="G5" s="4" t="s">
        <v>45</v>
      </c>
      <c r="H5" s="4" t="str">
        <f t="shared" si="2"/>
        <v>0216174451</v>
      </c>
      <c r="I5" s="4" t="s">
        <v>659</v>
      </c>
      <c r="J5" s="4" t="str">
        <f t="shared" si="3"/>
        <v>info@falconfoodsp.com</v>
      </c>
      <c r="K5" s="4" t="s">
        <v>660</v>
      </c>
      <c r="L5" s="11">
        <f t="shared" si="4"/>
        <v>45184</v>
      </c>
      <c r="M5" s="4" t="s">
        <v>661</v>
      </c>
    </row>
    <row r="6" spans="1:13" x14ac:dyDescent="0.25">
      <c r="A6" s="4" t="s">
        <v>662</v>
      </c>
      <c r="B6" s="4" t="str">
        <f t="shared" si="0"/>
        <v>Prime Motors</v>
      </c>
      <c r="C6" s="4" t="s">
        <v>663</v>
      </c>
      <c r="D6" s="4" t="str">
        <f t="shared" si="1"/>
        <v>NTN-3518002</v>
      </c>
      <c r="E6" s="4" t="s">
        <v>664</v>
      </c>
      <c r="F6" s="4" t="s">
        <v>67</v>
      </c>
      <c r="G6" s="4" t="s">
        <v>45</v>
      </c>
      <c r="H6" s="4" t="str">
        <f t="shared" si="2"/>
        <v>03042086353</v>
      </c>
      <c r="I6" s="4" t="s">
        <v>665</v>
      </c>
      <c r="J6" s="4" t="str">
        <f t="shared" si="3"/>
        <v>info@primemotors.com</v>
      </c>
      <c r="K6" s="4" t="s">
        <v>666</v>
      </c>
      <c r="L6" s="11">
        <f t="shared" si="4"/>
        <v>45590</v>
      </c>
      <c r="M6" s="4" t="s">
        <v>667</v>
      </c>
    </row>
    <row r="7" spans="1:13" x14ac:dyDescent="0.25">
      <c r="A7" s="4" t="s">
        <v>668</v>
      </c>
      <c r="B7" s="4" t="str">
        <f t="shared" si="0"/>
        <v>Punjab Dairy Farm'S</v>
      </c>
      <c r="C7" s="4" t="s">
        <v>669</v>
      </c>
      <c r="D7" s="4" t="str">
        <f t="shared" si="1"/>
        <v>N/A</v>
      </c>
      <c r="E7" s="4"/>
      <c r="F7" s="4" t="s">
        <v>207</v>
      </c>
      <c r="G7" s="4" t="s">
        <v>45</v>
      </c>
      <c r="H7" s="4" t="str">
        <f t="shared" si="2"/>
        <v>0349304078</v>
      </c>
      <c r="I7" s="4" t="s">
        <v>670</v>
      </c>
      <c r="J7" s="4" t="str">
        <f t="shared" si="3"/>
        <v>info@punjabdairyf.com</v>
      </c>
      <c r="K7" s="4" t="s">
        <v>671</v>
      </c>
      <c r="L7" s="11">
        <f t="shared" si="4"/>
        <v>45107</v>
      </c>
      <c r="M7" s="4" t="s">
        <v>672</v>
      </c>
    </row>
    <row r="8" spans="1:13" x14ac:dyDescent="0.25">
      <c r="A8" s="4" t="s">
        <v>673</v>
      </c>
      <c r="B8" s="4" t="str">
        <f t="shared" si="0"/>
        <v>Silverline Construction</v>
      </c>
      <c r="C8" s="4" t="s">
        <v>674</v>
      </c>
      <c r="D8" s="4" t="str">
        <f t="shared" si="1"/>
        <v>NTN-9277218</v>
      </c>
      <c r="E8" s="4" t="s">
        <v>675</v>
      </c>
      <c r="F8" s="4" t="s">
        <v>140</v>
      </c>
      <c r="G8" s="4" t="s">
        <v>45</v>
      </c>
      <c r="H8" s="4" t="str">
        <f t="shared" si="2"/>
        <v>0313832060</v>
      </c>
      <c r="I8" s="4" t="s">
        <v>676</v>
      </c>
      <c r="J8" s="4" t="str">
        <f t="shared" si="3"/>
        <v>info@silverlineco.com</v>
      </c>
      <c r="K8" s="4" t="s">
        <v>677</v>
      </c>
      <c r="L8" s="11">
        <f t="shared" si="4"/>
        <v>44564</v>
      </c>
      <c r="M8" s="4" t="s">
        <v>678</v>
      </c>
    </row>
    <row r="9" spans="1:13" x14ac:dyDescent="0.25">
      <c r="A9" s="4" t="s">
        <v>679</v>
      </c>
      <c r="B9" s="4" t="str">
        <f t="shared" si="0"/>
        <v>Everest Trdg. Co</v>
      </c>
      <c r="C9" s="4" t="s">
        <v>680</v>
      </c>
      <c r="D9" s="4" t="str">
        <f t="shared" si="1"/>
        <v>NTN-7866576</v>
      </c>
      <c r="E9" s="4" t="s">
        <v>681</v>
      </c>
      <c r="F9" s="4" t="s">
        <v>67</v>
      </c>
      <c r="G9" s="4" t="s">
        <v>45</v>
      </c>
      <c r="H9" s="4" t="str">
        <f t="shared" si="2"/>
        <v>0338844431</v>
      </c>
      <c r="I9" s="4" t="s">
        <v>682</v>
      </c>
      <c r="J9" s="4" t="str">
        <f t="shared" si="3"/>
        <v>N/A</v>
      </c>
      <c r="K9" s="4"/>
      <c r="L9" s="11">
        <f t="shared" si="4"/>
        <v>44569</v>
      </c>
      <c r="M9" s="4" t="s">
        <v>683</v>
      </c>
    </row>
    <row r="10" spans="1:13" x14ac:dyDescent="0.25">
      <c r="A10" s="4" t="s">
        <v>684</v>
      </c>
      <c r="B10" s="4" t="str">
        <f t="shared" si="0"/>
        <v>Ravi River Mill</v>
      </c>
      <c r="C10" s="4" t="s">
        <v>685</v>
      </c>
      <c r="D10" s="4" t="str">
        <f t="shared" si="1"/>
        <v>NTN-9058573</v>
      </c>
      <c r="E10" s="4" t="s">
        <v>686</v>
      </c>
      <c r="F10" s="4" t="s">
        <v>67</v>
      </c>
      <c r="G10" s="4" t="s">
        <v>45</v>
      </c>
      <c r="H10" s="4" t="str">
        <f t="shared" si="2"/>
        <v>0463103241</v>
      </c>
      <c r="I10" s="4" t="s">
        <v>687</v>
      </c>
      <c r="J10" s="4" t="str">
        <f t="shared" si="3"/>
        <v>info@ravirivermil.com</v>
      </c>
      <c r="K10" s="4" t="s">
        <v>688</v>
      </c>
      <c r="L10" s="11">
        <f t="shared" si="4"/>
        <v>45104</v>
      </c>
      <c r="M10" s="4" t="s">
        <v>689</v>
      </c>
    </row>
    <row r="11" spans="1:13" x14ac:dyDescent="0.25">
      <c r="A11" s="4" t="s">
        <v>690</v>
      </c>
      <c r="B11" s="4" t="str">
        <f t="shared" si="0"/>
        <v>Zenith Apparel Manufacturing Co</v>
      </c>
      <c r="C11" s="4" t="s">
        <v>691</v>
      </c>
      <c r="D11" s="4" t="str">
        <f t="shared" si="1"/>
        <v>NTN-5003671</v>
      </c>
      <c r="E11" s="4" t="s">
        <v>692</v>
      </c>
      <c r="F11" s="4" t="s">
        <v>67</v>
      </c>
      <c r="G11" s="4" t="s">
        <v>45</v>
      </c>
      <c r="H11" s="4" t="str">
        <f t="shared" si="2"/>
        <v>N/A</v>
      </c>
      <c r="I11" s="4"/>
      <c r="J11" s="4" t="str">
        <f t="shared" si="3"/>
        <v>info@zenithappare.com</v>
      </c>
      <c r="K11" s="4" t="s">
        <v>693</v>
      </c>
      <c r="L11" s="11">
        <f t="shared" si="4"/>
        <v>44806</v>
      </c>
      <c r="M11" s="4" t="s">
        <v>694</v>
      </c>
    </row>
    <row r="12" spans="1:13" x14ac:dyDescent="0.25">
      <c r="A12" s="4" t="s">
        <v>695</v>
      </c>
      <c r="B12" s="4" t="str">
        <f t="shared" si="0"/>
        <v>Pearl Cont. Exports</v>
      </c>
      <c r="C12" s="4" t="s">
        <v>696</v>
      </c>
      <c r="D12" s="4" t="str">
        <f t="shared" si="1"/>
        <v>NTN-8586676</v>
      </c>
      <c r="E12" s="4" t="s">
        <v>697</v>
      </c>
      <c r="F12" s="4" t="s">
        <v>53</v>
      </c>
      <c r="G12" s="4" t="s">
        <v>45</v>
      </c>
      <c r="H12" s="4" t="str">
        <f t="shared" si="2"/>
        <v>0308831712</v>
      </c>
      <c r="I12" s="4" t="s">
        <v>698</v>
      </c>
      <c r="J12" s="4" t="str">
        <f t="shared" si="3"/>
        <v>N/A</v>
      </c>
      <c r="K12" s="4"/>
      <c r="L12" s="11">
        <f t="shared" si="4"/>
        <v>45382</v>
      </c>
      <c r="M12" s="4" t="s">
        <v>699</v>
      </c>
    </row>
    <row r="13" spans="1:13" x14ac:dyDescent="0.25">
      <c r="A13" s="4" t="s">
        <v>700</v>
      </c>
      <c r="B13" s="4" t="str">
        <f t="shared" si="0"/>
        <v>Star Line Traders</v>
      </c>
      <c r="C13" s="4" t="s">
        <v>701</v>
      </c>
      <c r="D13" s="4" t="str">
        <f t="shared" si="1"/>
        <v>NTN-4817030</v>
      </c>
      <c r="E13" s="4" t="s">
        <v>702</v>
      </c>
      <c r="F13" s="4" t="s">
        <v>53</v>
      </c>
      <c r="G13" s="4" t="s">
        <v>45</v>
      </c>
      <c r="H13" s="4" t="str">
        <f t="shared" si="2"/>
        <v>0308068687</v>
      </c>
      <c r="I13" s="4" t="s">
        <v>703</v>
      </c>
      <c r="J13" s="4" t="str">
        <f t="shared" si="3"/>
        <v>info@starlinetrad.com</v>
      </c>
      <c r="K13" s="4" t="s">
        <v>704</v>
      </c>
      <c r="L13" s="11">
        <f t="shared" si="4"/>
        <v>44633</v>
      </c>
      <c r="M13" s="4" t="s">
        <v>705</v>
      </c>
    </row>
    <row r="14" spans="1:13" x14ac:dyDescent="0.25">
      <c r="A14" s="4" t="s">
        <v>706</v>
      </c>
      <c r="B14" s="4" t="str">
        <f t="shared" si="0"/>
        <v>Metro Retail Grp</v>
      </c>
      <c r="C14" s="4" t="s">
        <v>707</v>
      </c>
      <c r="D14" s="4" t="str">
        <f t="shared" si="1"/>
        <v>N/A</v>
      </c>
      <c r="E14" s="4"/>
      <c r="F14" s="4" t="s">
        <v>67</v>
      </c>
      <c r="G14" s="4" t="s">
        <v>45</v>
      </c>
      <c r="H14" s="4" t="str">
        <f t="shared" si="2"/>
        <v>03073291212</v>
      </c>
      <c r="I14" s="4" t="s">
        <v>708</v>
      </c>
      <c r="J14" s="4" t="str">
        <f t="shared" si="3"/>
        <v>info@metroretailg.com</v>
      </c>
      <c r="K14" s="4" t="s">
        <v>709</v>
      </c>
      <c r="L14" s="11">
        <f t="shared" si="4"/>
        <v>44987</v>
      </c>
      <c r="M14" s="4" t="s">
        <v>710</v>
      </c>
    </row>
    <row r="15" spans="1:13" x14ac:dyDescent="0.25">
      <c r="A15" s="4" t="s">
        <v>711</v>
      </c>
      <c r="B15" s="4" t="str">
        <f t="shared" si="0"/>
        <v>Union Cotton Trdrs.</v>
      </c>
      <c r="C15" s="4" t="s">
        <v>712</v>
      </c>
      <c r="D15" s="4" t="str">
        <f t="shared" si="1"/>
        <v>NTN-9272543</v>
      </c>
      <c r="E15" s="4" t="s">
        <v>713</v>
      </c>
      <c r="F15" s="4" t="s">
        <v>61</v>
      </c>
      <c r="G15" s="4" t="s">
        <v>45</v>
      </c>
      <c r="H15" s="4" t="str">
        <f t="shared" si="2"/>
        <v>0356586179</v>
      </c>
      <c r="I15" s="4" t="s">
        <v>714</v>
      </c>
      <c r="J15" s="4" t="str">
        <f t="shared" si="3"/>
        <v>N/A</v>
      </c>
      <c r="K15" s="4"/>
      <c r="L15" s="11">
        <f t="shared" si="4"/>
        <v>45096</v>
      </c>
      <c r="M15" s="4" t="s">
        <v>715</v>
      </c>
    </row>
    <row r="16" spans="1:13" x14ac:dyDescent="0.25">
      <c r="A16" s="4" t="s">
        <v>716</v>
      </c>
      <c r="B16" s="4" t="str">
        <f t="shared" si="0"/>
        <v>Crescent Steel Wrks</v>
      </c>
      <c r="C16" s="4" t="s">
        <v>717</v>
      </c>
      <c r="D16" s="4" t="str">
        <f t="shared" si="1"/>
        <v>NTN-6816746</v>
      </c>
      <c r="E16" s="4" t="s">
        <v>718</v>
      </c>
      <c r="F16" s="4" t="s">
        <v>53</v>
      </c>
      <c r="G16" s="4" t="s">
        <v>45</v>
      </c>
      <c r="H16" s="4" t="str">
        <f t="shared" si="2"/>
        <v>0318842524</v>
      </c>
      <c r="I16" s="4" t="s">
        <v>719</v>
      </c>
      <c r="J16" s="4" t="str">
        <f t="shared" si="3"/>
        <v>info@crescentstee.com</v>
      </c>
      <c r="K16" s="4" t="s">
        <v>720</v>
      </c>
      <c r="L16" s="11">
        <f t="shared" si="4"/>
        <v>45100</v>
      </c>
      <c r="M16" s="4" t="s">
        <v>721</v>
      </c>
    </row>
    <row r="17" spans="1:13" x14ac:dyDescent="0.25">
      <c r="A17" s="4" t="s">
        <v>722</v>
      </c>
      <c r="B17" s="4" t="str">
        <f t="shared" si="0"/>
        <v>Faisal Steel Ind'S.</v>
      </c>
      <c r="C17" s="4" t="s">
        <v>723</v>
      </c>
      <c r="D17" s="4" t="str">
        <f t="shared" si="1"/>
        <v>NTN-7197531</v>
      </c>
      <c r="E17" s="4" t="s">
        <v>724</v>
      </c>
      <c r="F17" s="4" t="s">
        <v>53</v>
      </c>
      <c r="G17" s="4" t="s">
        <v>45</v>
      </c>
      <c r="H17" s="4" t="str">
        <f t="shared" si="2"/>
        <v>N/A</v>
      </c>
      <c r="I17" s="4" t="s">
        <v>112</v>
      </c>
      <c r="J17" s="4" t="str">
        <f t="shared" si="3"/>
        <v>info@faisalsteeli.com</v>
      </c>
      <c r="K17" s="4" t="s">
        <v>725</v>
      </c>
      <c r="L17" s="11">
        <f t="shared" si="4"/>
        <v>44760</v>
      </c>
      <c r="M17" s="4" t="s">
        <v>726</v>
      </c>
    </row>
    <row r="18" spans="1:13" x14ac:dyDescent="0.25">
      <c r="A18" s="4" t="s">
        <v>727</v>
      </c>
      <c r="B18" s="4" t="str">
        <f t="shared" si="0"/>
        <v>Blue Ocean Logistic'S</v>
      </c>
      <c r="C18" s="4" t="s">
        <v>728</v>
      </c>
      <c r="D18" s="4" t="str">
        <f t="shared" si="1"/>
        <v>NTN-1930113</v>
      </c>
      <c r="E18" s="4" t="s">
        <v>729</v>
      </c>
      <c r="F18" s="4" t="s">
        <v>53</v>
      </c>
      <c r="G18" s="4" t="s">
        <v>45</v>
      </c>
      <c r="H18" s="4" t="str">
        <f t="shared" si="2"/>
        <v>0347925241</v>
      </c>
      <c r="I18" s="4" t="s">
        <v>730</v>
      </c>
      <c r="J18" s="4" t="str">
        <f t="shared" si="3"/>
        <v>N/A</v>
      </c>
      <c r="K18" s="4"/>
      <c r="L18" s="11">
        <f t="shared" si="4"/>
        <v>44587</v>
      </c>
      <c r="M18" s="4" t="s">
        <v>731</v>
      </c>
    </row>
    <row r="19" spans="1:13" x14ac:dyDescent="0.25">
      <c r="A19" s="4" t="s">
        <v>732</v>
      </c>
      <c r="B19" s="4" t="str">
        <f t="shared" si="0"/>
        <v>Karachi Electronics</v>
      </c>
      <c r="C19" s="4" t="s">
        <v>733</v>
      </c>
      <c r="D19" s="4" t="str">
        <f t="shared" si="1"/>
        <v>NTN-8158234</v>
      </c>
      <c r="E19" s="4" t="s">
        <v>734</v>
      </c>
      <c r="F19" s="4" t="s">
        <v>53</v>
      </c>
      <c r="G19" s="4" t="s">
        <v>45</v>
      </c>
      <c r="H19" s="4" t="str">
        <f t="shared" si="2"/>
        <v>0302532447</v>
      </c>
      <c r="I19" s="4" t="s">
        <v>735</v>
      </c>
      <c r="J19" s="4" t="str">
        <f t="shared" si="3"/>
        <v>info@karachielect.com</v>
      </c>
      <c r="K19" s="4" t="s">
        <v>736</v>
      </c>
      <c r="L19" s="11">
        <f t="shared" si="4"/>
        <v>45583</v>
      </c>
      <c r="M19" s="4" t="s">
        <v>737</v>
      </c>
    </row>
    <row r="20" spans="1:13" x14ac:dyDescent="0.25">
      <c r="A20" s="4" t="s">
        <v>738</v>
      </c>
      <c r="B20" s="4" t="str">
        <f t="shared" si="0"/>
        <v>Delta Chemical Ind</v>
      </c>
      <c r="C20" s="4" t="s">
        <v>739</v>
      </c>
      <c r="D20" s="4" t="str">
        <f t="shared" si="1"/>
        <v>NTN-3699529</v>
      </c>
      <c r="E20" s="4" t="s">
        <v>740</v>
      </c>
      <c r="F20" s="4" t="s">
        <v>53</v>
      </c>
      <c r="G20" s="4" t="s">
        <v>45</v>
      </c>
      <c r="H20" s="4" t="str">
        <f t="shared" si="2"/>
        <v>03101815997</v>
      </c>
      <c r="I20" s="4" t="s">
        <v>741</v>
      </c>
      <c r="J20" s="4" t="str">
        <f t="shared" si="3"/>
        <v>info@deltachemica.com</v>
      </c>
      <c r="K20" s="4" t="s">
        <v>742</v>
      </c>
      <c r="L20" s="11">
        <f t="shared" si="4"/>
        <v>44883</v>
      </c>
      <c r="M20" s="4" t="s">
        <v>743</v>
      </c>
    </row>
    <row r="21" spans="1:13" x14ac:dyDescent="0.25">
      <c r="A21" s="4" t="s">
        <v>744</v>
      </c>
      <c r="B21" s="4" t="str">
        <f t="shared" si="0"/>
        <v>Highland Tea Trdrs</v>
      </c>
      <c r="C21" s="4" t="s">
        <v>745</v>
      </c>
      <c r="D21" s="4" t="str">
        <f t="shared" si="1"/>
        <v>NTN-6428919</v>
      </c>
      <c r="E21" s="4" t="s">
        <v>746</v>
      </c>
      <c r="F21" s="4" t="s">
        <v>85</v>
      </c>
      <c r="G21" s="4" t="s">
        <v>45</v>
      </c>
      <c r="H21" s="4" t="str">
        <f t="shared" si="2"/>
        <v>0430029218</v>
      </c>
      <c r="I21" s="4" t="s">
        <v>747</v>
      </c>
      <c r="J21" s="4" t="str">
        <f t="shared" si="3"/>
        <v>info@highlandteat.com</v>
      </c>
      <c r="K21" s="4" t="s">
        <v>748</v>
      </c>
      <c r="L21" s="11">
        <f t="shared" si="4"/>
        <v>45251</v>
      </c>
      <c r="M21" s="4" t="s">
        <v>749</v>
      </c>
    </row>
    <row r="22" spans="1:13" x14ac:dyDescent="0.25">
      <c r="A22" s="4" t="s">
        <v>750</v>
      </c>
      <c r="B22" s="4" t="str">
        <f t="shared" si="0"/>
        <v>Metro Pharma Dist.</v>
      </c>
      <c r="C22" s="4" t="s">
        <v>751</v>
      </c>
      <c r="D22" s="4" t="str">
        <f t="shared" si="1"/>
        <v>NTN-8329435</v>
      </c>
      <c r="E22" s="4" t="s">
        <v>752</v>
      </c>
      <c r="F22" s="4" t="s">
        <v>67</v>
      </c>
      <c r="G22" s="4" t="s">
        <v>45</v>
      </c>
      <c r="H22" s="4" t="str">
        <f t="shared" si="2"/>
        <v>N/A</v>
      </c>
      <c r="I22" s="4"/>
      <c r="J22" s="4" t="str">
        <f t="shared" si="3"/>
        <v>info@metropharmad.com</v>
      </c>
      <c r="K22" s="4" t="s">
        <v>753</v>
      </c>
      <c r="L22" s="11">
        <f t="shared" si="4"/>
        <v>44925</v>
      </c>
      <c r="M22" s="4" t="s">
        <v>754</v>
      </c>
    </row>
    <row r="23" spans="1:13" x14ac:dyDescent="0.25">
      <c r="A23" s="4" t="s">
        <v>755</v>
      </c>
      <c r="B23" s="4" t="str">
        <f t="shared" si="0"/>
        <v>Al Habib Textiles</v>
      </c>
      <c r="C23" s="4" t="s">
        <v>756</v>
      </c>
      <c r="D23" s="4" t="str">
        <f t="shared" si="1"/>
        <v>NTN-3561552</v>
      </c>
      <c r="E23" s="4" t="s">
        <v>757</v>
      </c>
      <c r="F23" s="4" t="s">
        <v>53</v>
      </c>
      <c r="G23" s="4" t="s">
        <v>45</v>
      </c>
      <c r="H23" s="4" t="str">
        <f t="shared" si="2"/>
        <v>N/A</v>
      </c>
      <c r="I23" s="4" t="s">
        <v>112</v>
      </c>
      <c r="J23" s="4" t="str">
        <f t="shared" si="3"/>
        <v>info@alhabibtexti.com</v>
      </c>
      <c r="K23" s="4" t="s">
        <v>758</v>
      </c>
      <c r="L23" s="11">
        <f t="shared" si="4"/>
        <v>45879</v>
      </c>
      <c r="M23" s="4" t="s">
        <v>759</v>
      </c>
    </row>
    <row r="24" spans="1:13" x14ac:dyDescent="0.25">
      <c r="A24" s="4" t="s">
        <v>760</v>
      </c>
      <c r="B24" s="4" t="str">
        <f t="shared" si="0"/>
        <v>Lahore Autoparts</v>
      </c>
      <c r="C24" s="4" t="s">
        <v>761</v>
      </c>
      <c r="D24" s="4" t="str">
        <f t="shared" si="1"/>
        <v>NTN-3302438</v>
      </c>
      <c r="E24" s="4" t="s">
        <v>762</v>
      </c>
      <c r="F24" s="4" t="s">
        <v>67</v>
      </c>
      <c r="G24" s="4" t="s">
        <v>45</v>
      </c>
      <c r="H24" s="4" t="str">
        <f t="shared" si="2"/>
        <v>0386383806</v>
      </c>
      <c r="I24" s="4" t="s">
        <v>763</v>
      </c>
      <c r="J24" s="4" t="str">
        <f t="shared" si="3"/>
        <v>info@lahoreautopa.com</v>
      </c>
      <c r="K24" s="4" t="s">
        <v>764</v>
      </c>
      <c r="L24" s="11">
        <f t="shared" si="4"/>
        <v>45590</v>
      </c>
      <c r="M24" s="4" t="s">
        <v>765</v>
      </c>
    </row>
    <row r="25" spans="1:13" x14ac:dyDescent="0.25">
      <c r="A25" s="4" t="s">
        <v>766</v>
      </c>
      <c r="B25" s="4" t="str">
        <f t="shared" si="0"/>
        <v>Coastal Shipping Svcs.</v>
      </c>
      <c r="C25" s="4" t="s">
        <v>767</v>
      </c>
      <c r="D25" s="4" t="str">
        <f t="shared" si="1"/>
        <v>NTN-7516648</v>
      </c>
      <c r="E25" s="4" t="s">
        <v>768</v>
      </c>
      <c r="F25" s="4" t="s">
        <v>53</v>
      </c>
      <c r="G25" s="4" t="s">
        <v>45</v>
      </c>
      <c r="H25" s="4" t="str">
        <f t="shared" si="2"/>
        <v>03225223955</v>
      </c>
      <c r="I25" s="4" t="s">
        <v>769</v>
      </c>
      <c r="J25" s="4" t="str">
        <f t="shared" si="3"/>
        <v>info@coastalshipp.com</v>
      </c>
      <c r="K25" s="4" t="s">
        <v>770</v>
      </c>
      <c r="L25" s="11">
        <f t="shared" si="4"/>
        <v>45715</v>
      </c>
      <c r="M25" s="4" t="s">
        <v>771</v>
      </c>
    </row>
    <row r="26" spans="1:13" x14ac:dyDescent="0.25">
      <c r="A26" s="4" t="s">
        <v>772</v>
      </c>
      <c r="B26" s="4" t="str">
        <f t="shared" si="0"/>
        <v>Horizon Pharma</v>
      </c>
      <c r="C26" s="4" t="s">
        <v>773</v>
      </c>
      <c r="D26" s="4" t="str">
        <f t="shared" si="1"/>
        <v>NTN-7616116</v>
      </c>
      <c r="E26" s="4" t="s">
        <v>774</v>
      </c>
      <c r="F26" s="4" t="s">
        <v>53</v>
      </c>
      <c r="G26" s="4" t="s">
        <v>45</v>
      </c>
      <c r="H26" s="4" t="str">
        <f t="shared" si="2"/>
        <v>N/A</v>
      </c>
      <c r="I26" s="4"/>
      <c r="J26" s="4" t="str">
        <f t="shared" si="3"/>
        <v>info@horizonpharm.com</v>
      </c>
      <c r="K26" s="4" t="s">
        <v>775</v>
      </c>
      <c r="L26" s="11">
        <f t="shared" si="4"/>
        <v>45230</v>
      </c>
      <c r="M26" s="4" t="s">
        <v>776</v>
      </c>
    </row>
    <row r="27" spans="1:13" x14ac:dyDescent="0.25">
      <c r="A27" s="4" t="s">
        <v>777</v>
      </c>
      <c r="B27" s="4" t="str">
        <f t="shared" si="0"/>
        <v>Sunrise Textile Mill</v>
      </c>
      <c r="C27" s="4" t="s">
        <v>778</v>
      </c>
      <c r="D27" s="4" t="str">
        <f t="shared" si="1"/>
        <v>NTN-2517010</v>
      </c>
      <c r="E27" s="4" t="s">
        <v>779</v>
      </c>
      <c r="F27" s="4" t="s">
        <v>44</v>
      </c>
      <c r="G27" s="4" t="s">
        <v>45</v>
      </c>
      <c r="H27" s="4" t="str">
        <f t="shared" si="2"/>
        <v>03252490352</v>
      </c>
      <c r="I27" s="4" t="s">
        <v>780</v>
      </c>
      <c r="J27" s="4" t="str">
        <f t="shared" si="3"/>
        <v>N/A</v>
      </c>
      <c r="K27" s="4"/>
      <c r="L27" s="11">
        <f t="shared" si="4"/>
        <v>45174</v>
      </c>
      <c r="M27" s="4" t="s">
        <v>781</v>
      </c>
    </row>
    <row r="28" spans="1:13" x14ac:dyDescent="0.25">
      <c r="A28" s="4" t="s">
        <v>782</v>
      </c>
      <c r="B28" s="4" t="str">
        <f t="shared" si="0"/>
        <v>Wazir Ali And Sons</v>
      </c>
      <c r="C28" s="4" t="s">
        <v>783</v>
      </c>
      <c r="D28" s="4" t="str">
        <f t="shared" si="1"/>
        <v>NTN-3900427</v>
      </c>
      <c r="E28" s="4" t="s">
        <v>784</v>
      </c>
      <c r="F28" s="4" t="s">
        <v>67</v>
      </c>
      <c r="G28" s="4" t="s">
        <v>45</v>
      </c>
      <c r="H28" s="4" t="str">
        <f t="shared" si="2"/>
        <v>N/A</v>
      </c>
      <c r="I28" s="4" t="s">
        <v>112</v>
      </c>
      <c r="J28" s="4" t="str">
        <f t="shared" si="3"/>
        <v>info@waziraliands.com</v>
      </c>
      <c r="K28" s="4" t="s">
        <v>785</v>
      </c>
      <c r="L28" s="11">
        <f t="shared" si="4"/>
        <v>45216</v>
      </c>
      <c r="M28" s="4" t="s">
        <v>786</v>
      </c>
    </row>
    <row r="29" spans="1:13" x14ac:dyDescent="0.25">
      <c r="A29" s="4" t="s">
        <v>787</v>
      </c>
      <c r="B29" s="4" t="str">
        <f t="shared" si="0"/>
        <v>Ravi River Mill</v>
      </c>
      <c r="C29" s="4" t="s">
        <v>788</v>
      </c>
      <c r="D29" s="4" t="str">
        <f t="shared" si="1"/>
        <v>NTN-9058573</v>
      </c>
      <c r="E29" s="4" t="s">
        <v>686</v>
      </c>
      <c r="F29" s="4" t="s">
        <v>67</v>
      </c>
      <c r="G29" s="4" t="s">
        <v>45</v>
      </c>
      <c r="H29" s="4" t="str">
        <f t="shared" si="2"/>
        <v>0463103241</v>
      </c>
      <c r="I29" s="4" t="s">
        <v>687</v>
      </c>
      <c r="J29" s="4" t="str">
        <f t="shared" si="3"/>
        <v>info@ravirivermil.com</v>
      </c>
      <c r="K29" s="4" t="s">
        <v>688</v>
      </c>
      <c r="L29" s="11">
        <f t="shared" si="4"/>
        <v>45104</v>
      </c>
      <c r="M29" s="4" t="s">
        <v>689</v>
      </c>
    </row>
    <row r="30" spans="1:13" x14ac:dyDescent="0.25">
      <c r="A30" s="4" t="s">
        <v>789</v>
      </c>
      <c r="B30" s="4" t="str">
        <f t="shared" si="0"/>
        <v>Greenfields Agri.</v>
      </c>
      <c r="C30" s="4" t="s">
        <v>790</v>
      </c>
      <c r="D30" s="4" t="str">
        <f t="shared" si="1"/>
        <v>NTN-1636925</v>
      </c>
      <c r="E30" s="4" t="s">
        <v>791</v>
      </c>
      <c r="F30" s="4" t="s">
        <v>61</v>
      </c>
      <c r="G30" s="4" t="s">
        <v>45</v>
      </c>
      <c r="H30" s="4" t="str">
        <f t="shared" si="2"/>
        <v>0301039308</v>
      </c>
      <c r="I30" s="4" t="s">
        <v>792</v>
      </c>
      <c r="J30" s="4" t="str">
        <f t="shared" si="3"/>
        <v>info@greenfieldsa.com</v>
      </c>
      <c r="K30" s="4" t="s">
        <v>793</v>
      </c>
      <c r="L30" s="11">
        <f t="shared" si="4"/>
        <v>45259</v>
      </c>
      <c r="M30" s="4" t="s">
        <v>794</v>
      </c>
    </row>
    <row r="31" spans="1:13" x14ac:dyDescent="0.25">
      <c r="A31" s="4" t="s">
        <v>795</v>
      </c>
      <c r="B31" s="4" t="str">
        <f t="shared" si="0"/>
        <v>Alrehman Rice Mills</v>
      </c>
      <c r="C31" s="4" t="s">
        <v>796</v>
      </c>
      <c r="D31" s="4" t="str">
        <f t="shared" si="1"/>
        <v>NTN-2258076</v>
      </c>
      <c r="E31" s="4" t="s">
        <v>797</v>
      </c>
      <c r="F31" s="4" t="s">
        <v>80</v>
      </c>
      <c r="G31" s="4" t="s">
        <v>45</v>
      </c>
      <c r="H31" s="4" t="str">
        <f t="shared" si="2"/>
        <v>0300137215</v>
      </c>
      <c r="I31" s="4" t="s">
        <v>798</v>
      </c>
      <c r="J31" s="4" t="str">
        <f t="shared" si="3"/>
        <v>info@alrehmanrice.com</v>
      </c>
      <c r="K31" s="4" t="s">
        <v>799</v>
      </c>
      <c r="L31" s="11">
        <f t="shared" si="4"/>
        <v>45449</v>
      </c>
      <c r="M31" s="4" t="s">
        <v>800</v>
      </c>
    </row>
    <row r="32" spans="1:13" x14ac:dyDescent="0.25">
      <c r="A32" s="4" t="s">
        <v>801</v>
      </c>
      <c r="B32" s="4" t="str">
        <f t="shared" si="0"/>
        <v>Crescent Steel Wrks</v>
      </c>
      <c r="C32" s="4" t="s">
        <v>802</v>
      </c>
      <c r="D32" s="4" t="str">
        <f t="shared" si="1"/>
        <v>NTN-6816746</v>
      </c>
      <c r="E32" s="4" t="s">
        <v>718</v>
      </c>
      <c r="F32" s="4" t="s">
        <v>53</v>
      </c>
      <c r="G32" s="4" t="s">
        <v>45</v>
      </c>
      <c r="H32" s="4" t="str">
        <f t="shared" si="2"/>
        <v>0318842524</v>
      </c>
      <c r="I32" s="4" t="s">
        <v>719</v>
      </c>
      <c r="J32" s="4" t="str">
        <f t="shared" si="3"/>
        <v>info@crescentstee.com</v>
      </c>
      <c r="K32" s="4" t="s">
        <v>720</v>
      </c>
      <c r="L32" s="11">
        <f t="shared" si="4"/>
        <v>45100</v>
      </c>
      <c r="M32" s="4" t="s">
        <v>721</v>
      </c>
    </row>
  </sheetData>
  <autoFilter ref="A1:M32" xr:uid="{00000000-0009-0000-0000-000005000000}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90"/>
  <sheetViews>
    <sheetView workbookViewId="0">
      <pane ySplit="1" topLeftCell="A2" activePane="bottomLeft" state="frozen"/>
      <selection pane="bottomLeft" activeCell="D2" sqref="D2"/>
    </sheetView>
  </sheetViews>
  <sheetFormatPr defaultRowHeight="15" x14ac:dyDescent="0.25"/>
  <cols>
    <col min="1" max="1" width="11" customWidth="1"/>
    <col min="2" max="2" width="30.140625" customWidth="1"/>
    <col min="3" max="3" width="33" hidden="1" customWidth="1"/>
    <col min="4" max="4" width="20.5703125" style="15" customWidth="1"/>
    <col min="5" max="5" width="20" hidden="1" customWidth="1"/>
    <col min="6" max="6" width="27" customWidth="1"/>
    <col min="7" max="7" width="18" customWidth="1"/>
    <col min="8" max="8" width="10.5703125" customWidth="1"/>
    <col min="9" max="9" width="17" customWidth="1"/>
    <col min="10" max="10" width="5" hidden="1" customWidth="1"/>
  </cols>
  <sheetData>
    <row r="1" spans="1:10" x14ac:dyDescent="0.25">
      <c r="A1" s="3" t="s">
        <v>803</v>
      </c>
      <c r="B1" s="3" t="s">
        <v>804</v>
      </c>
      <c r="C1" s="3" t="s">
        <v>804</v>
      </c>
      <c r="D1" s="14" t="s">
        <v>805</v>
      </c>
      <c r="E1" s="3" t="s">
        <v>805</v>
      </c>
      <c r="F1" s="3" t="s">
        <v>806</v>
      </c>
      <c r="G1" s="3" t="s">
        <v>807</v>
      </c>
      <c r="H1" s="3" t="s">
        <v>25</v>
      </c>
      <c r="I1" s="3" t="s">
        <v>17</v>
      </c>
      <c r="J1" s="3" t="s">
        <v>17</v>
      </c>
    </row>
    <row r="2" spans="1:10" x14ac:dyDescent="0.25">
      <c r="A2" s="4" t="s">
        <v>808</v>
      </c>
      <c r="B2" s="4" t="str">
        <f>PROPER(TRIM(C2))</f>
        <v>Skyline Real Estate Dev.</v>
      </c>
      <c r="C2" s="4" t="s">
        <v>641</v>
      </c>
      <c r="D2" s="11">
        <f>IF(ISNUMBER(E2),E2,IFERROR(DATEVALUE(E2),IFERROR(DATE(VALUE(RIGHT(E2,4)),VALUE(MID(E2,4,2)),VALUE(LEFT(E2,2))),"")))</f>
        <v>46098</v>
      </c>
      <c r="E2" s="4" t="s">
        <v>809</v>
      </c>
      <c r="F2" s="4" t="s">
        <v>810</v>
      </c>
      <c r="G2" s="10">
        <v>2814278</v>
      </c>
      <c r="H2" s="4" t="s">
        <v>29</v>
      </c>
      <c r="I2" s="4" t="str">
        <f>PROPER(TRIM(J2))</f>
        <v>Approved</v>
      </c>
      <c r="J2" s="4" t="s">
        <v>811</v>
      </c>
    </row>
    <row r="3" spans="1:10" x14ac:dyDescent="0.25">
      <c r="A3" s="4" t="s">
        <v>812</v>
      </c>
      <c r="B3" s="4" t="str">
        <f t="shared" ref="B3:B66" si="0">PROPER(TRIM(C3))</f>
        <v>Skyline Real Estate Dev.</v>
      </c>
      <c r="C3" s="4" t="s">
        <v>641</v>
      </c>
      <c r="D3" s="11">
        <f t="shared" ref="D3:D66" si="1">IF(ISNUMBER(E3),E3,IFERROR(DATEVALUE(E3),IFERROR(DATE(VALUE(RIGHT(E3,4)),VALUE(MID(E3,4,2)),VALUE(LEFT(E3,2))),"")))</f>
        <v>45006</v>
      </c>
      <c r="E3" s="4" t="s">
        <v>813</v>
      </c>
      <c r="F3" s="4" t="s">
        <v>814</v>
      </c>
      <c r="G3" s="10">
        <v>16243676</v>
      </c>
      <c r="H3" s="4" t="s">
        <v>29</v>
      </c>
      <c r="I3" s="4" t="str">
        <f t="shared" ref="I3:I66" si="2">PROPER(TRIM(J3))</f>
        <v>Disbursed</v>
      </c>
      <c r="J3" s="4" t="s">
        <v>815</v>
      </c>
    </row>
    <row r="4" spans="1:10" x14ac:dyDescent="0.25">
      <c r="A4" s="4" t="s">
        <v>816</v>
      </c>
      <c r="B4" s="4" t="str">
        <f t="shared" si="0"/>
        <v>Skyline Real Estate Dev.</v>
      </c>
      <c r="C4" s="4" t="s">
        <v>641</v>
      </c>
      <c r="D4" s="11">
        <f t="shared" si="1"/>
        <v>45547</v>
      </c>
      <c r="E4" s="4" t="s">
        <v>817</v>
      </c>
      <c r="F4" s="4" t="s">
        <v>814</v>
      </c>
      <c r="G4" s="10">
        <v>33292006</v>
      </c>
      <c r="H4" s="4" t="s">
        <v>29</v>
      </c>
      <c r="I4" s="4" t="str">
        <f t="shared" si="2"/>
        <v>Pending Approval</v>
      </c>
      <c r="J4" s="4" t="s">
        <v>818</v>
      </c>
    </row>
    <row r="5" spans="1:10" x14ac:dyDescent="0.25">
      <c r="A5" s="4" t="s">
        <v>819</v>
      </c>
      <c r="B5" s="4" t="str">
        <f t="shared" si="0"/>
        <v>Millennium Plastic'S</v>
      </c>
      <c r="C5" s="4" t="s">
        <v>646</v>
      </c>
      <c r="D5" s="11">
        <f t="shared" si="1"/>
        <v>45584</v>
      </c>
      <c r="E5" s="4" t="s">
        <v>820</v>
      </c>
      <c r="F5" s="4" t="s">
        <v>821</v>
      </c>
      <c r="G5" s="10">
        <v>28269144</v>
      </c>
      <c r="H5" s="4" t="s">
        <v>29</v>
      </c>
      <c r="I5" s="4" t="str">
        <f t="shared" si="2"/>
        <v>Disbursed</v>
      </c>
      <c r="J5" s="4" t="s">
        <v>822</v>
      </c>
    </row>
    <row r="6" spans="1:10" x14ac:dyDescent="0.25">
      <c r="A6" s="4" t="s">
        <v>823</v>
      </c>
      <c r="B6" s="4" t="str">
        <f t="shared" si="0"/>
        <v>Millennium Plastic'S</v>
      </c>
      <c r="C6" s="4" t="s">
        <v>646</v>
      </c>
      <c r="D6" s="11">
        <f t="shared" si="1"/>
        <v>45984</v>
      </c>
      <c r="E6" s="4" t="s">
        <v>824</v>
      </c>
      <c r="F6" s="4" t="s">
        <v>825</v>
      </c>
      <c r="G6" s="10">
        <v>34879164</v>
      </c>
      <c r="H6" s="4" t="s">
        <v>29</v>
      </c>
      <c r="I6" s="4" t="str">
        <f t="shared" si="2"/>
        <v>Disbursed</v>
      </c>
      <c r="J6" s="4" t="s">
        <v>822</v>
      </c>
    </row>
    <row r="7" spans="1:10" x14ac:dyDescent="0.25">
      <c r="A7" s="4" t="s">
        <v>826</v>
      </c>
      <c r="B7" s="4" t="str">
        <f t="shared" si="0"/>
        <v>National Grain Trdrs.</v>
      </c>
      <c r="C7" s="4" t="s">
        <v>652</v>
      </c>
      <c r="D7" s="11">
        <f t="shared" si="1"/>
        <v>45282</v>
      </c>
      <c r="E7" s="4" t="s">
        <v>827</v>
      </c>
      <c r="F7" s="4" t="s">
        <v>828</v>
      </c>
      <c r="G7" s="10">
        <v>4167317</v>
      </c>
      <c r="H7" s="4" t="s">
        <v>29</v>
      </c>
      <c r="I7" s="4" t="str">
        <f t="shared" si="2"/>
        <v>Pending Approval</v>
      </c>
      <c r="J7" s="4" t="s">
        <v>818</v>
      </c>
    </row>
    <row r="8" spans="1:10" x14ac:dyDescent="0.25">
      <c r="A8" s="4" t="s">
        <v>829</v>
      </c>
      <c r="B8" s="4" t="str">
        <f t="shared" si="0"/>
        <v>National Grain Trdrs.</v>
      </c>
      <c r="C8" s="4" t="s">
        <v>652</v>
      </c>
      <c r="D8" s="11">
        <f t="shared" si="1"/>
        <v>45681</v>
      </c>
      <c r="E8" s="4" t="s">
        <v>830</v>
      </c>
      <c r="F8" s="4" t="s">
        <v>831</v>
      </c>
      <c r="G8" s="10">
        <v>26938345</v>
      </c>
      <c r="H8" s="4" t="s">
        <v>29</v>
      </c>
      <c r="I8" s="4" t="str">
        <f t="shared" si="2"/>
        <v>Cancelled</v>
      </c>
      <c r="J8" s="4" t="s">
        <v>832</v>
      </c>
    </row>
    <row r="9" spans="1:10" x14ac:dyDescent="0.25">
      <c r="A9" s="4" t="s">
        <v>833</v>
      </c>
      <c r="B9" s="4" t="str">
        <f t="shared" si="0"/>
        <v>Falcon Foods Pvt. Ltd.</v>
      </c>
      <c r="C9" s="4" t="s">
        <v>657</v>
      </c>
      <c r="D9" s="11">
        <f t="shared" si="1"/>
        <v>45290</v>
      </c>
      <c r="E9" s="4" t="s">
        <v>834</v>
      </c>
      <c r="F9" s="4" t="s">
        <v>831</v>
      </c>
      <c r="G9" s="10">
        <v>23771989</v>
      </c>
      <c r="H9" s="4" t="s">
        <v>29</v>
      </c>
      <c r="I9" s="4" t="str">
        <f t="shared" si="2"/>
        <v>Approved</v>
      </c>
      <c r="J9" s="4" t="s">
        <v>811</v>
      </c>
    </row>
    <row r="10" spans="1:10" x14ac:dyDescent="0.25">
      <c r="A10" s="4" t="s">
        <v>835</v>
      </c>
      <c r="B10" s="4" t="str">
        <f t="shared" si="0"/>
        <v>Falcon Foods Pvt. Ltd.</v>
      </c>
      <c r="C10" s="4" t="s">
        <v>657</v>
      </c>
      <c r="D10" s="11">
        <f t="shared" si="1"/>
        <v>45510</v>
      </c>
      <c r="E10" s="4" t="s">
        <v>836</v>
      </c>
      <c r="F10" s="4" t="s">
        <v>810</v>
      </c>
      <c r="G10" s="10">
        <v>3632025</v>
      </c>
      <c r="H10" s="4" t="s">
        <v>29</v>
      </c>
      <c r="I10" s="4" t="str">
        <f t="shared" si="2"/>
        <v>Approved</v>
      </c>
      <c r="J10" s="4" t="s">
        <v>811</v>
      </c>
    </row>
    <row r="11" spans="1:10" x14ac:dyDescent="0.25">
      <c r="A11" s="4" t="s">
        <v>837</v>
      </c>
      <c r="B11" s="4" t="str">
        <f t="shared" si="0"/>
        <v>Falcon Foods Pvt. Ltd.</v>
      </c>
      <c r="C11" s="4" t="s">
        <v>657</v>
      </c>
      <c r="D11" s="11">
        <f t="shared" si="1"/>
        <v>45350</v>
      </c>
      <c r="E11" s="4" t="s">
        <v>838</v>
      </c>
      <c r="F11" s="4" t="s">
        <v>821</v>
      </c>
      <c r="G11" s="10">
        <v>27781562</v>
      </c>
      <c r="H11" s="4" t="s">
        <v>29</v>
      </c>
      <c r="I11" s="4" t="str">
        <f t="shared" si="2"/>
        <v>Disbursed</v>
      </c>
      <c r="J11" s="4" t="s">
        <v>815</v>
      </c>
    </row>
    <row r="12" spans="1:10" x14ac:dyDescent="0.25">
      <c r="A12" s="4" t="s">
        <v>839</v>
      </c>
      <c r="B12" s="4" t="str">
        <f t="shared" si="0"/>
        <v>Prime Motors</v>
      </c>
      <c r="C12" s="4" t="s">
        <v>663</v>
      </c>
      <c r="D12" s="11">
        <f t="shared" si="1"/>
        <v>46252</v>
      </c>
      <c r="E12" s="4" t="s">
        <v>840</v>
      </c>
      <c r="F12" s="4" t="s">
        <v>831</v>
      </c>
      <c r="G12" s="10">
        <v>867991</v>
      </c>
      <c r="H12" s="4" t="s">
        <v>29</v>
      </c>
      <c r="I12" s="4" t="str">
        <f t="shared" si="2"/>
        <v>Approved</v>
      </c>
      <c r="J12" s="4" t="s">
        <v>811</v>
      </c>
    </row>
    <row r="13" spans="1:10" x14ac:dyDescent="0.25">
      <c r="A13" s="4" t="s">
        <v>841</v>
      </c>
      <c r="B13" s="4" t="str">
        <f t="shared" si="0"/>
        <v>Prime Motors</v>
      </c>
      <c r="C13" s="4" t="s">
        <v>663</v>
      </c>
      <c r="D13" s="11">
        <f t="shared" si="1"/>
        <v>45794</v>
      </c>
      <c r="E13" s="4" t="s">
        <v>842</v>
      </c>
      <c r="F13" s="4" t="s">
        <v>814</v>
      </c>
      <c r="G13" s="10">
        <v>31102835</v>
      </c>
      <c r="H13" s="4" t="s">
        <v>29</v>
      </c>
      <c r="I13" s="4" t="str">
        <f t="shared" si="2"/>
        <v>Disbursed</v>
      </c>
      <c r="J13" s="4" t="s">
        <v>843</v>
      </c>
    </row>
    <row r="14" spans="1:10" x14ac:dyDescent="0.25">
      <c r="A14" s="4" t="s">
        <v>844</v>
      </c>
      <c r="B14" s="4" t="str">
        <f t="shared" si="0"/>
        <v>Prime Motors</v>
      </c>
      <c r="C14" s="4" t="s">
        <v>663</v>
      </c>
      <c r="D14" s="11">
        <f t="shared" si="1"/>
        <v>46124</v>
      </c>
      <c r="E14" s="4" t="s">
        <v>845</v>
      </c>
      <c r="F14" s="4" t="s">
        <v>825</v>
      </c>
      <c r="G14" s="10">
        <v>34627104</v>
      </c>
      <c r="H14" s="4" t="s">
        <v>29</v>
      </c>
      <c r="I14" s="4" t="str">
        <f t="shared" si="2"/>
        <v>Disbursed</v>
      </c>
      <c r="J14" s="4" t="s">
        <v>843</v>
      </c>
    </row>
    <row r="15" spans="1:10" x14ac:dyDescent="0.25">
      <c r="A15" s="4" t="s">
        <v>846</v>
      </c>
      <c r="B15" s="4" t="str">
        <f t="shared" si="0"/>
        <v>Punjab Dairy Farm'S</v>
      </c>
      <c r="C15" s="4" t="s">
        <v>669</v>
      </c>
      <c r="D15" s="11">
        <f t="shared" si="1"/>
        <v>45538</v>
      </c>
      <c r="E15" s="4" t="s">
        <v>847</v>
      </c>
      <c r="F15" s="4" t="s">
        <v>825</v>
      </c>
      <c r="G15" s="10">
        <v>32628918</v>
      </c>
      <c r="H15" s="4" t="s">
        <v>29</v>
      </c>
      <c r="I15" s="4" t="str">
        <f t="shared" si="2"/>
        <v>Cancelled</v>
      </c>
      <c r="J15" s="4" t="s">
        <v>832</v>
      </c>
    </row>
    <row r="16" spans="1:10" x14ac:dyDescent="0.25">
      <c r="A16" s="4" t="s">
        <v>848</v>
      </c>
      <c r="B16" s="4" t="str">
        <f t="shared" si="0"/>
        <v>Punjab Dairy Farm'S</v>
      </c>
      <c r="C16" s="4" t="s">
        <v>669</v>
      </c>
      <c r="D16" s="11">
        <f t="shared" si="1"/>
        <v>46261</v>
      </c>
      <c r="E16" s="4" t="s">
        <v>849</v>
      </c>
      <c r="F16" s="4" t="s">
        <v>828</v>
      </c>
      <c r="G16" s="10">
        <v>10361584</v>
      </c>
      <c r="H16" s="4" t="s">
        <v>29</v>
      </c>
      <c r="I16" s="4" t="str">
        <f t="shared" si="2"/>
        <v>Disbursed</v>
      </c>
      <c r="J16" s="4" t="s">
        <v>822</v>
      </c>
    </row>
    <row r="17" spans="1:10" x14ac:dyDescent="0.25">
      <c r="A17" s="4" t="s">
        <v>850</v>
      </c>
      <c r="B17" s="4" t="str">
        <f t="shared" si="0"/>
        <v>Punjab Dairy Farm'S</v>
      </c>
      <c r="C17" s="4" t="s">
        <v>669</v>
      </c>
      <c r="D17" s="11">
        <f t="shared" si="1"/>
        <v>45213</v>
      </c>
      <c r="E17" s="4" t="s">
        <v>851</v>
      </c>
      <c r="F17" s="4" t="s">
        <v>825</v>
      </c>
      <c r="G17" s="10">
        <v>33678125</v>
      </c>
      <c r="H17" s="4" t="s">
        <v>29</v>
      </c>
      <c r="I17" s="4" t="str">
        <f t="shared" si="2"/>
        <v>Disbursed</v>
      </c>
      <c r="J17" s="4" t="s">
        <v>822</v>
      </c>
    </row>
    <row r="18" spans="1:10" x14ac:dyDescent="0.25">
      <c r="A18" s="4" t="s">
        <v>852</v>
      </c>
      <c r="B18" s="4" t="str">
        <f t="shared" si="0"/>
        <v>Punjab Dairy Farm'S</v>
      </c>
      <c r="C18" s="4" t="s">
        <v>669</v>
      </c>
      <c r="D18" s="11">
        <f t="shared" si="1"/>
        <v>46121</v>
      </c>
      <c r="E18" s="4" t="s">
        <v>853</v>
      </c>
      <c r="F18" s="4" t="s">
        <v>831</v>
      </c>
      <c r="G18" s="10">
        <v>13044990</v>
      </c>
      <c r="H18" s="4" t="s">
        <v>29</v>
      </c>
      <c r="I18" s="4" t="str">
        <f t="shared" si="2"/>
        <v>Approved</v>
      </c>
      <c r="J18" s="4" t="s">
        <v>811</v>
      </c>
    </row>
    <row r="19" spans="1:10" x14ac:dyDescent="0.25">
      <c r="A19" s="4" t="s">
        <v>854</v>
      </c>
      <c r="B19" s="4" t="str">
        <f t="shared" si="0"/>
        <v>Silverline Construction</v>
      </c>
      <c r="C19" s="4" t="s">
        <v>674</v>
      </c>
      <c r="D19" s="11">
        <f t="shared" si="1"/>
        <v>45965</v>
      </c>
      <c r="E19" s="4" t="s">
        <v>855</v>
      </c>
      <c r="F19" s="4" t="s">
        <v>828</v>
      </c>
      <c r="G19" s="10">
        <v>12455821</v>
      </c>
      <c r="H19" s="4" t="s">
        <v>29</v>
      </c>
      <c r="I19" s="4" t="str">
        <f t="shared" si="2"/>
        <v>Approved</v>
      </c>
      <c r="J19" s="4" t="s">
        <v>811</v>
      </c>
    </row>
    <row r="20" spans="1:10" x14ac:dyDescent="0.25">
      <c r="A20" s="4" t="s">
        <v>856</v>
      </c>
      <c r="B20" s="4" t="str">
        <f t="shared" si="0"/>
        <v>Silverline Construction</v>
      </c>
      <c r="C20" s="4" t="s">
        <v>674</v>
      </c>
      <c r="D20" s="11">
        <f t="shared" si="1"/>
        <v>45614</v>
      </c>
      <c r="E20" s="4" t="s">
        <v>857</v>
      </c>
      <c r="F20" s="4" t="s">
        <v>825</v>
      </c>
      <c r="G20" s="10">
        <v>15215180</v>
      </c>
      <c r="H20" s="4" t="s">
        <v>29</v>
      </c>
      <c r="I20" s="4" t="str">
        <f t="shared" si="2"/>
        <v>Cancelled</v>
      </c>
      <c r="J20" s="4" t="s">
        <v>832</v>
      </c>
    </row>
    <row r="21" spans="1:10" x14ac:dyDescent="0.25">
      <c r="A21" s="4" t="s">
        <v>858</v>
      </c>
      <c r="B21" s="4" t="str">
        <f t="shared" si="0"/>
        <v>Silverline Construction</v>
      </c>
      <c r="C21" s="4" t="s">
        <v>674</v>
      </c>
      <c r="D21" s="11">
        <f t="shared" si="1"/>
        <v>45460</v>
      </c>
      <c r="E21" s="4" t="s">
        <v>859</v>
      </c>
      <c r="F21" s="4" t="s">
        <v>814</v>
      </c>
      <c r="G21" s="10">
        <v>31422448</v>
      </c>
      <c r="H21" s="4" t="s">
        <v>29</v>
      </c>
      <c r="I21" s="4" t="str">
        <f t="shared" si="2"/>
        <v>Disbursed</v>
      </c>
      <c r="J21" s="4" t="s">
        <v>843</v>
      </c>
    </row>
    <row r="22" spans="1:10" x14ac:dyDescent="0.25">
      <c r="A22" s="4" t="s">
        <v>860</v>
      </c>
      <c r="B22" s="4" t="str">
        <f t="shared" si="0"/>
        <v>Everest Trdg. Co</v>
      </c>
      <c r="C22" s="4" t="s">
        <v>680</v>
      </c>
      <c r="D22" s="11">
        <f t="shared" si="1"/>
        <v>45894</v>
      </c>
      <c r="E22" s="4" t="s">
        <v>861</v>
      </c>
      <c r="F22" s="4" t="s">
        <v>831</v>
      </c>
      <c r="G22" s="10">
        <v>8340711</v>
      </c>
      <c r="H22" s="4" t="s">
        <v>29</v>
      </c>
      <c r="I22" s="4" t="str">
        <f t="shared" si="2"/>
        <v>Disbursed</v>
      </c>
      <c r="J22" s="4" t="s">
        <v>815</v>
      </c>
    </row>
    <row r="23" spans="1:10" x14ac:dyDescent="0.25">
      <c r="A23" s="4" t="s">
        <v>862</v>
      </c>
      <c r="B23" s="4" t="str">
        <f t="shared" si="0"/>
        <v>Everest Trdg. Co</v>
      </c>
      <c r="C23" s="4" t="s">
        <v>680</v>
      </c>
      <c r="D23" s="11">
        <f t="shared" si="1"/>
        <v>45179</v>
      </c>
      <c r="E23" s="4" t="s">
        <v>863</v>
      </c>
      <c r="F23" s="4" t="s">
        <v>814</v>
      </c>
      <c r="G23" s="10">
        <v>27760399</v>
      </c>
      <c r="H23" s="4" t="s">
        <v>29</v>
      </c>
      <c r="I23" s="4" t="str">
        <f t="shared" si="2"/>
        <v>Cancelled</v>
      </c>
      <c r="J23" s="4" t="s">
        <v>832</v>
      </c>
    </row>
    <row r="24" spans="1:10" x14ac:dyDescent="0.25">
      <c r="A24" s="4" t="s">
        <v>864</v>
      </c>
      <c r="B24" s="4" t="str">
        <f t="shared" si="0"/>
        <v>Everest Trdg. Co</v>
      </c>
      <c r="C24" s="4" t="s">
        <v>680</v>
      </c>
      <c r="D24" s="11">
        <f t="shared" si="1"/>
        <v>45092</v>
      </c>
      <c r="E24" s="4" t="s">
        <v>865</v>
      </c>
      <c r="F24" s="4" t="s">
        <v>814</v>
      </c>
      <c r="G24" s="10">
        <v>12166475</v>
      </c>
      <c r="H24" s="4" t="s">
        <v>29</v>
      </c>
      <c r="I24" s="4" t="str">
        <f t="shared" si="2"/>
        <v>Pending Approval</v>
      </c>
      <c r="J24" s="4" t="s">
        <v>818</v>
      </c>
    </row>
    <row r="25" spans="1:10" x14ac:dyDescent="0.25">
      <c r="A25" s="4" t="s">
        <v>866</v>
      </c>
      <c r="B25" s="4" t="str">
        <f t="shared" si="0"/>
        <v>Everest Trdg. Co</v>
      </c>
      <c r="C25" s="4" t="s">
        <v>680</v>
      </c>
      <c r="D25" s="11">
        <f t="shared" si="1"/>
        <v>46107</v>
      </c>
      <c r="E25" s="4" t="s">
        <v>867</v>
      </c>
      <c r="F25" s="4" t="s">
        <v>810</v>
      </c>
      <c r="G25" s="10">
        <v>6208354</v>
      </c>
      <c r="H25" s="4" t="s">
        <v>29</v>
      </c>
      <c r="I25" s="4" t="str">
        <f t="shared" si="2"/>
        <v>Disbursed</v>
      </c>
      <c r="J25" s="4" t="s">
        <v>822</v>
      </c>
    </row>
    <row r="26" spans="1:10" x14ac:dyDescent="0.25">
      <c r="A26" s="4" t="s">
        <v>868</v>
      </c>
      <c r="B26" s="4" t="str">
        <f t="shared" si="0"/>
        <v>Ravi River Mill</v>
      </c>
      <c r="C26" s="4" t="s">
        <v>685</v>
      </c>
      <c r="D26" s="11">
        <f t="shared" si="1"/>
        <v>44936</v>
      </c>
      <c r="E26" s="4" t="s">
        <v>869</v>
      </c>
      <c r="F26" s="4" t="s">
        <v>831</v>
      </c>
      <c r="G26" s="10">
        <v>13682463</v>
      </c>
      <c r="H26" s="4" t="s">
        <v>29</v>
      </c>
      <c r="I26" s="4" t="str">
        <f t="shared" si="2"/>
        <v>Pending Approval</v>
      </c>
      <c r="J26" s="4" t="s">
        <v>818</v>
      </c>
    </row>
    <row r="27" spans="1:10" x14ac:dyDescent="0.25">
      <c r="A27" s="4" t="s">
        <v>870</v>
      </c>
      <c r="B27" s="4" t="str">
        <f t="shared" si="0"/>
        <v>Ravi River Mill</v>
      </c>
      <c r="C27" s="4" t="s">
        <v>685</v>
      </c>
      <c r="D27" s="11">
        <f t="shared" si="1"/>
        <v>44935</v>
      </c>
      <c r="E27" s="4" t="s">
        <v>871</v>
      </c>
      <c r="F27" s="4" t="s">
        <v>821</v>
      </c>
      <c r="G27" s="10">
        <v>16998237</v>
      </c>
      <c r="H27" s="4" t="s">
        <v>29</v>
      </c>
      <c r="I27" s="4" t="str">
        <f t="shared" si="2"/>
        <v>Disbursed</v>
      </c>
      <c r="J27" s="4" t="s">
        <v>815</v>
      </c>
    </row>
    <row r="28" spans="1:10" x14ac:dyDescent="0.25">
      <c r="A28" s="4" t="s">
        <v>872</v>
      </c>
      <c r="B28" s="4" t="str">
        <f t="shared" si="0"/>
        <v>Ravi River Mill</v>
      </c>
      <c r="C28" s="4" t="s">
        <v>685</v>
      </c>
      <c r="D28" s="11">
        <f t="shared" si="1"/>
        <v>45957</v>
      </c>
      <c r="E28" s="4" t="s">
        <v>873</v>
      </c>
      <c r="F28" s="4" t="s">
        <v>814</v>
      </c>
      <c r="G28" s="10">
        <v>11508535</v>
      </c>
      <c r="H28" s="4" t="s">
        <v>29</v>
      </c>
      <c r="I28" s="4" t="str">
        <f t="shared" si="2"/>
        <v>Approved</v>
      </c>
      <c r="J28" s="4" t="s">
        <v>811</v>
      </c>
    </row>
    <row r="29" spans="1:10" x14ac:dyDescent="0.25">
      <c r="A29" s="4" t="s">
        <v>874</v>
      </c>
      <c r="B29" s="4" t="str">
        <f t="shared" si="0"/>
        <v>Zenith Apparel Manufacturing Co</v>
      </c>
      <c r="C29" s="4" t="s">
        <v>691</v>
      </c>
      <c r="D29" s="11">
        <f t="shared" si="1"/>
        <v>45815</v>
      </c>
      <c r="E29" s="4" t="s">
        <v>875</v>
      </c>
      <c r="F29" s="4" t="s">
        <v>828</v>
      </c>
      <c r="G29" s="10">
        <v>23300411</v>
      </c>
      <c r="H29" s="4" t="s">
        <v>29</v>
      </c>
      <c r="I29" s="4" t="str">
        <f t="shared" si="2"/>
        <v>Pending Approval</v>
      </c>
      <c r="J29" s="4" t="s">
        <v>818</v>
      </c>
    </row>
    <row r="30" spans="1:10" x14ac:dyDescent="0.25">
      <c r="A30" s="4" t="s">
        <v>876</v>
      </c>
      <c r="B30" s="4" t="str">
        <f t="shared" si="0"/>
        <v>Zenith Apparel Manufacturing Co</v>
      </c>
      <c r="C30" s="4" t="s">
        <v>691</v>
      </c>
      <c r="D30" s="11">
        <f t="shared" si="1"/>
        <v>45171</v>
      </c>
      <c r="E30" s="4" t="s">
        <v>877</v>
      </c>
      <c r="F30" s="4" t="s">
        <v>828</v>
      </c>
      <c r="G30" s="10">
        <v>9105070</v>
      </c>
      <c r="H30" s="4" t="s">
        <v>29</v>
      </c>
      <c r="I30" s="4" t="str">
        <f t="shared" si="2"/>
        <v>Disbursed</v>
      </c>
      <c r="J30" s="4" t="s">
        <v>815</v>
      </c>
    </row>
    <row r="31" spans="1:10" x14ac:dyDescent="0.25">
      <c r="A31" s="4" t="s">
        <v>878</v>
      </c>
      <c r="B31" s="4" t="str">
        <f t="shared" si="0"/>
        <v>Zenith Apparel Manufacturing Co</v>
      </c>
      <c r="C31" s="4" t="s">
        <v>691</v>
      </c>
      <c r="D31" s="11">
        <f t="shared" si="1"/>
        <v>46259</v>
      </c>
      <c r="E31" s="4" t="s">
        <v>879</v>
      </c>
      <c r="F31" s="4" t="s">
        <v>810</v>
      </c>
      <c r="G31" s="10">
        <v>17465720</v>
      </c>
      <c r="H31" s="4" t="s">
        <v>29</v>
      </c>
      <c r="I31" s="4" t="str">
        <f t="shared" si="2"/>
        <v>Approved</v>
      </c>
      <c r="J31" s="4" t="s">
        <v>811</v>
      </c>
    </row>
    <row r="32" spans="1:10" x14ac:dyDescent="0.25">
      <c r="A32" s="4" t="s">
        <v>880</v>
      </c>
      <c r="B32" s="4" t="str">
        <f t="shared" si="0"/>
        <v>Zenith Apparel Manufacturing Co</v>
      </c>
      <c r="C32" s="4" t="s">
        <v>691</v>
      </c>
      <c r="D32" s="11">
        <f t="shared" si="1"/>
        <v>46265</v>
      </c>
      <c r="E32" s="4" t="s">
        <v>881</v>
      </c>
      <c r="F32" s="4" t="s">
        <v>825</v>
      </c>
      <c r="G32" s="10">
        <v>8070523</v>
      </c>
      <c r="H32" s="4" t="s">
        <v>29</v>
      </c>
      <c r="I32" s="4" t="str">
        <f t="shared" si="2"/>
        <v>Disbursed</v>
      </c>
      <c r="J32" s="4" t="s">
        <v>822</v>
      </c>
    </row>
    <row r="33" spans="1:10" x14ac:dyDescent="0.25">
      <c r="A33" s="4" t="s">
        <v>882</v>
      </c>
      <c r="B33" s="4" t="str">
        <f t="shared" si="0"/>
        <v>Pearl Cont. Exports</v>
      </c>
      <c r="C33" s="4" t="s">
        <v>696</v>
      </c>
      <c r="D33" s="11">
        <f t="shared" si="1"/>
        <v>46217</v>
      </c>
      <c r="E33" s="4" t="s">
        <v>883</v>
      </c>
      <c r="F33" s="4" t="s">
        <v>814</v>
      </c>
      <c r="G33" s="10">
        <v>28544205</v>
      </c>
      <c r="H33" s="4" t="s">
        <v>29</v>
      </c>
      <c r="I33" s="4" t="str">
        <f t="shared" si="2"/>
        <v>Disbursed</v>
      </c>
      <c r="J33" s="4" t="s">
        <v>843</v>
      </c>
    </row>
    <row r="34" spans="1:10" x14ac:dyDescent="0.25">
      <c r="A34" s="4" t="s">
        <v>884</v>
      </c>
      <c r="B34" s="4" t="str">
        <f t="shared" si="0"/>
        <v>Pearl Cont. Exports</v>
      </c>
      <c r="C34" s="4" t="s">
        <v>696</v>
      </c>
      <c r="D34" s="11">
        <f t="shared" si="1"/>
        <v>45784</v>
      </c>
      <c r="E34" s="4" t="s">
        <v>885</v>
      </c>
      <c r="F34" s="4" t="s">
        <v>831</v>
      </c>
      <c r="G34" s="10">
        <v>8201033</v>
      </c>
      <c r="H34" s="4" t="s">
        <v>29</v>
      </c>
      <c r="I34" s="4" t="str">
        <f t="shared" si="2"/>
        <v>Disbursed</v>
      </c>
      <c r="J34" s="4" t="s">
        <v>843</v>
      </c>
    </row>
    <row r="35" spans="1:10" x14ac:dyDescent="0.25">
      <c r="A35" s="4" t="s">
        <v>886</v>
      </c>
      <c r="B35" s="4" t="str">
        <f t="shared" si="0"/>
        <v>Star Line Traders</v>
      </c>
      <c r="C35" s="4" t="s">
        <v>701</v>
      </c>
      <c r="D35" s="11">
        <f t="shared" si="1"/>
        <v>45850</v>
      </c>
      <c r="E35" s="4" t="s">
        <v>887</v>
      </c>
      <c r="F35" s="4" t="s">
        <v>814</v>
      </c>
      <c r="G35" s="10">
        <v>27798275</v>
      </c>
      <c r="H35" s="4" t="s">
        <v>29</v>
      </c>
      <c r="I35" s="4" t="str">
        <f t="shared" si="2"/>
        <v>Approved</v>
      </c>
      <c r="J35" s="4" t="s">
        <v>811</v>
      </c>
    </row>
    <row r="36" spans="1:10" x14ac:dyDescent="0.25">
      <c r="A36" s="4" t="s">
        <v>888</v>
      </c>
      <c r="B36" s="4" t="str">
        <f t="shared" si="0"/>
        <v>Star Line Traders</v>
      </c>
      <c r="C36" s="4" t="s">
        <v>701</v>
      </c>
      <c r="D36" s="11">
        <f t="shared" si="1"/>
        <v>45515</v>
      </c>
      <c r="E36" s="4" t="s">
        <v>889</v>
      </c>
      <c r="F36" s="4" t="s">
        <v>825</v>
      </c>
      <c r="G36" s="10">
        <v>1155597</v>
      </c>
      <c r="H36" s="4" t="s">
        <v>29</v>
      </c>
      <c r="I36" s="4" t="str">
        <f t="shared" si="2"/>
        <v>Approved</v>
      </c>
      <c r="J36" s="4" t="s">
        <v>811</v>
      </c>
    </row>
    <row r="37" spans="1:10" x14ac:dyDescent="0.25">
      <c r="A37" s="4" t="s">
        <v>890</v>
      </c>
      <c r="B37" s="4" t="str">
        <f t="shared" si="0"/>
        <v>Metro Retail Grp</v>
      </c>
      <c r="C37" s="4" t="s">
        <v>707</v>
      </c>
      <c r="D37" s="11">
        <f t="shared" si="1"/>
        <v>45111</v>
      </c>
      <c r="E37" s="4" t="s">
        <v>891</v>
      </c>
      <c r="F37" s="4" t="s">
        <v>825</v>
      </c>
      <c r="G37" s="10">
        <v>7097488</v>
      </c>
      <c r="H37" s="4" t="s">
        <v>29</v>
      </c>
      <c r="I37" s="4" t="str">
        <f t="shared" si="2"/>
        <v>Cancelled</v>
      </c>
      <c r="J37" s="4" t="s">
        <v>832</v>
      </c>
    </row>
    <row r="38" spans="1:10" x14ac:dyDescent="0.25">
      <c r="A38" s="4" t="s">
        <v>892</v>
      </c>
      <c r="B38" s="4" t="str">
        <f t="shared" si="0"/>
        <v>Metro Retail Grp</v>
      </c>
      <c r="C38" s="4" t="s">
        <v>707</v>
      </c>
      <c r="D38" s="11">
        <f t="shared" si="1"/>
        <v>45029</v>
      </c>
      <c r="E38" s="4" t="s">
        <v>893</v>
      </c>
      <c r="F38" s="4" t="s">
        <v>828</v>
      </c>
      <c r="G38" s="10">
        <v>2947076</v>
      </c>
      <c r="H38" s="4" t="s">
        <v>29</v>
      </c>
      <c r="I38" s="4" t="str">
        <f t="shared" si="2"/>
        <v>Disbursed</v>
      </c>
      <c r="J38" s="4" t="s">
        <v>822</v>
      </c>
    </row>
    <row r="39" spans="1:10" x14ac:dyDescent="0.25">
      <c r="A39" s="4" t="s">
        <v>894</v>
      </c>
      <c r="B39" s="4" t="str">
        <f t="shared" si="0"/>
        <v>Metro Retail Grp</v>
      </c>
      <c r="C39" s="4" t="s">
        <v>707</v>
      </c>
      <c r="D39" s="11">
        <f t="shared" si="1"/>
        <v>45121</v>
      </c>
      <c r="E39" s="4" t="s">
        <v>895</v>
      </c>
      <c r="F39" s="4" t="s">
        <v>825</v>
      </c>
      <c r="G39" s="10">
        <v>9587493</v>
      </c>
      <c r="H39" s="4" t="s">
        <v>29</v>
      </c>
      <c r="I39" s="4" t="str">
        <f t="shared" si="2"/>
        <v>Disbursed</v>
      </c>
      <c r="J39" s="4" t="s">
        <v>843</v>
      </c>
    </row>
    <row r="40" spans="1:10" x14ac:dyDescent="0.25">
      <c r="A40" s="4" t="s">
        <v>896</v>
      </c>
      <c r="B40" s="4" t="str">
        <f t="shared" si="0"/>
        <v>Union Cotton Trdrs.</v>
      </c>
      <c r="C40" s="4" t="s">
        <v>712</v>
      </c>
      <c r="D40" s="11">
        <f t="shared" si="1"/>
        <v>45690</v>
      </c>
      <c r="E40" s="4" t="s">
        <v>897</v>
      </c>
      <c r="F40" s="4" t="s">
        <v>828</v>
      </c>
      <c r="G40" s="10">
        <v>7939136</v>
      </c>
      <c r="H40" s="4" t="s">
        <v>29</v>
      </c>
      <c r="I40" s="4" t="str">
        <f t="shared" si="2"/>
        <v>Approved</v>
      </c>
      <c r="J40" s="4" t="s">
        <v>811</v>
      </c>
    </row>
    <row r="41" spans="1:10" x14ac:dyDescent="0.25">
      <c r="A41" s="4" t="s">
        <v>898</v>
      </c>
      <c r="B41" s="4" t="str">
        <f t="shared" si="0"/>
        <v>Union Cotton Trdrs.</v>
      </c>
      <c r="C41" s="4" t="s">
        <v>712</v>
      </c>
      <c r="D41" s="11">
        <f t="shared" si="1"/>
        <v>45790</v>
      </c>
      <c r="E41" s="4" t="s">
        <v>899</v>
      </c>
      <c r="F41" s="4" t="s">
        <v>828</v>
      </c>
      <c r="G41" s="10">
        <v>7887097</v>
      </c>
      <c r="H41" s="4" t="s">
        <v>29</v>
      </c>
      <c r="I41" s="4" t="str">
        <f t="shared" si="2"/>
        <v>Disbursed</v>
      </c>
      <c r="J41" s="4" t="s">
        <v>815</v>
      </c>
    </row>
    <row r="42" spans="1:10" x14ac:dyDescent="0.25">
      <c r="A42" s="4" t="s">
        <v>900</v>
      </c>
      <c r="B42" s="4" t="str">
        <f t="shared" si="0"/>
        <v>Crescent Steel Wrks</v>
      </c>
      <c r="C42" s="4" t="s">
        <v>717</v>
      </c>
      <c r="D42" s="11">
        <f t="shared" si="1"/>
        <v>46092</v>
      </c>
      <c r="E42" s="4" t="s">
        <v>901</v>
      </c>
      <c r="F42" s="4" t="s">
        <v>810</v>
      </c>
      <c r="G42" s="10">
        <v>12464190</v>
      </c>
      <c r="H42" s="4" t="s">
        <v>29</v>
      </c>
      <c r="I42" s="4" t="str">
        <f t="shared" si="2"/>
        <v>Approved</v>
      </c>
      <c r="J42" s="4" t="s">
        <v>811</v>
      </c>
    </row>
    <row r="43" spans="1:10" x14ac:dyDescent="0.25">
      <c r="A43" s="4" t="s">
        <v>902</v>
      </c>
      <c r="B43" s="4" t="str">
        <f t="shared" si="0"/>
        <v>Crescent Steel Wrks</v>
      </c>
      <c r="C43" s="4" t="s">
        <v>717</v>
      </c>
      <c r="D43" s="11">
        <f t="shared" si="1"/>
        <v>45916</v>
      </c>
      <c r="E43" s="4" t="s">
        <v>903</v>
      </c>
      <c r="F43" s="4" t="s">
        <v>825</v>
      </c>
      <c r="G43" s="10">
        <v>27900819</v>
      </c>
      <c r="H43" s="4" t="s">
        <v>29</v>
      </c>
      <c r="I43" s="4" t="str">
        <f t="shared" si="2"/>
        <v>Disbursed</v>
      </c>
      <c r="J43" s="4" t="s">
        <v>815</v>
      </c>
    </row>
    <row r="44" spans="1:10" x14ac:dyDescent="0.25">
      <c r="A44" s="4" t="s">
        <v>904</v>
      </c>
      <c r="B44" s="4" t="str">
        <f t="shared" si="0"/>
        <v>Crescent Steel Wrks</v>
      </c>
      <c r="C44" s="4" t="s">
        <v>717</v>
      </c>
      <c r="D44" s="11">
        <f t="shared" si="1"/>
        <v>45619</v>
      </c>
      <c r="E44" s="4" t="s">
        <v>905</v>
      </c>
      <c r="F44" s="4" t="s">
        <v>831</v>
      </c>
      <c r="G44" s="10">
        <v>6691591</v>
      </c>
      <c r="H44" s="4" t="s">
        <v>29</v>
      </c>
      <c r="I44" s="4" t="str">
        <f t="shared" si="2"/>
        <v>Approved</v>
      </c>
      <c r="J44" s="4" t="s">
        <v>811</v>
      </c>
    </row>
    <row r="45" spans="1:10" x14ac:dyDescent="0.25">
      <c r="A45" s="4" t="s">
        <v>906</v>
      </c>
      <c r="B45" s="4" t="str">
        <f t="shared" si="0"/>
        <v>Faisal Steel Ind'S.</v>
      </c>
      <c r="C45" s="4" t="s">
        <v>723</v>
      </c>
      <c r="D45" s="11">
        <f t="shared" si="1"/>
        <v>46070</v>
      </c>
      <c r="E45" s="4" t="s">
        <v>907</v>
      </c>
      <c r="F45" s="4" t="s">
        <v>825</v>
      </c>
      <c r="G45" s="10">
        <v>1081473</v>
      </c>
      <c r="H45" s="4" t="s">
        <v>29</v>
      </c>
      <c r="I45" s="4" t="str">
        <f t="shared" si="2"/>
        <v>Disbursed</v>
      </c>
      <c r="J45" s="4" t="s">
        <v>822</v>
      </c>
    </row>
    <row r="46" spans="1:10" x14ac:dyDescent="0.25">
      <c r="A46" s="4" t="s">
        <v>908</v>
      </c>
      <c r="B46" s="4" t="str">
        <f t="shared" si="0"/>
        <v>Faisal Steel Ind'S.</v>
      </c>
      <c r="C46" s="4" t="s">
        <v>723</v>
      </c>
      <c r="D46" s="11">
        <f t="shared" si="1"/>
        <v>45080</v>
      </c>
      <c r="E46" s="4" t="s">
        <v>909</v>
      </c>
      <c r="F46" s="4" t="s">
        <v>814</v>
      </c>
      <c r="G46" s="10">
        <v>16465976</v>
      </c>
      <c r="H46" s="4" t="s">
        <v>29</v>
      </c>
      <c r="I46" s="4" t="str">
        <f t="shared" si="2"/>
        <v>Disbursed</v>
      </c>
      <c r="J46" s="4" t="s">
        <v>843</v>
      </c>
    </row>
    <row r="47" spans="1:10" x14ac:dyDescent="0.25">
      <c r="A47" s="4" t="s">
        <v>910</v>
      </c>
      <c r="B47" s="4" t="str">
        <f t="shared" si="0"/>
        <v>Faisal Steel Ind'S.</v>
      </c>
      <c r="C47" s="4" t="s">
        <v>723</v>
      </c>
      <c r="D47" s="11">
        <f t="shared" si="1"/>
        <v>45781</v>
      </c>
      <c r="E47" s="4" t="s">
        <v>911</v>
      </c>
      <c r="F47" s="4" t="s">
        <v>825</v>
      </c>
      <c r="G47" s="10">
        <v>31109316</v>
      </c>
      <c r="H47" s="4" t="s">
        <v>29</v>
      </c>
      <c r="I47" s="4" t="str">
        <f t="shared" si="2"/>
        <v>Disbursed</v>
      </c>
      <c r="J47" s="4" t="s">
        <v>822</v>
      </c>
    </row>
    <row r="48" spans="1:10" x14ac:dyDescent="0.25">
      <c r="A48" s="4" t="s">
        <v>912</v>
      </c>
      <c r="B48" s="4" t="str">
        <f t="shared" si="0"/>
        <v>Blue Ocean Logistic'S</v>
      </c>
      <c r="C48" s="4" t="s">
        <v>728</v>
      </c>
      <c r="D48" s="11">
        <f t="shared" si="1"/>
        <v>45945</v>
      </c>
      <c r="E48" s="4" t="s">
        <v>913</v>
      </c>
      <c r="F48" s="4" t="s">
        <v>821</v>
      </c>
      <c r="G48" s="10">
        <v>1492466</v>
      </c>
      <c r="H48" s="4" t="s">
        <v>29</v>
      </c>
      <c r="I48" s="4" t="str">
        <f t="shared" si="2"/>
        <v>Disbursed</v>
      </c>
      <c r="J48" s="4" t="s">
        <v>815</v>
      </c>
    </row>
    <row r="49" spans="1:10" x14ac:dyDescent="0.25">
      <c r="A49" s="4" t="s">
        <v>914</v>
      </c>
      <c r="B49" s="4" t="str">
        <f t="shared" si="0"/>
        <v>Blue Ocean Logistic'S</v>
      </c>
      <c r="C49" s="4" t="s">
        <v>728</v>
      </c>
      <c r="D49" s="11">
        <f t="shared" si="1"/>
        <v>46164</v>
      </c>
      <c r="E49" s="4" t="s">
        <v>915</v>
      </c>
      <c r="F49" s="4" t="s">
        <v>821</v>
      </c>
      <c r="G49" s="10">
        <v>20741222</v>
      </c>
      <c r="H49" s="4" t="s">
        <v>29</v>
      </c>
      <c r="I49" s="4" t="str">
        <f t="shared" si="2"/>
        <v>Disbursed</v>
      </c>
      <c r="J49" s="4" t="s">
        <v>822</v>
      </c>
    </row>
    <row r="50" spans="1:10" x14ac:dyDescent="0.25">
      <c r="A50" s="4" t="s">
        <v>916</v>
      </c>
      <c r="B50" s="4" t="str">
        <f t="shared" si="0"/>
        <v>Karachi Electronics</v>
      </c>
      <c r="C50" s="4" t="s">
        <v>733</v>
      </c>
      <c r="D50" s="11">
        <f t="shared" si="1"/>
        <v>45038</v>
      </c>
      <c r="E50" s="4" t="s">
        <v>917</v>
      </c>
      <c r="F50" s="4" t="s">
        <v>810</v>
      </c>
      <c r="G50" s="10">
        <v>22578305</v>
      </c>
      <c r="H50" s="4" t="s">
        <v>29</v>
      </c>
      <c r="I50" s="4" t="str">
        <f t="shared" si="2"/>
        <v>Approved</v>
      </c>
      <c r="J50" s="4" t="s">
        <v>811</v>
      </c>
    </row>
    <row r="51" spans="1:10" x14ac:dyDescent="0.25">
      <c r="A51" s="4" t="s">
        <v>918</v>
      </c>
      <c r="B51" s="4" t="str">
        <f t="shared" si="0"/>
        <v>Karachi Electronics</v>
      </c>
      <c r="C51" s="4" t="s">
        <v>733</v>
      </c>
      <c r="D51" s="11">
        <f t="shared" si="1"/>
        <v>45853</v>
      </c>
      <c r="E51" s="4" t="s">
        <v>919</v>
      </c>
      <c r="F51" s="4" t="s">
        <v>825</v>
      </c>
      <c r="G51" s="10" t="s">
        <v>112</v>
      </c>
      <c r="H51" s="4" t="s">
        <v>29</v>
      </c>
      <c r="I51" s="4" t="str">
        <f t="shared" si="2"/>
        <v>Disbursed</v>
      </c>
      <c r="J51" s="4" t="s">
        <v>843</v>
      </c>
    </row>
    <row r="52" spans="1:10" x14ac:dyDescent="0.25">
      <c r="A52" s="4" t="s">
        <v>920</v>
      </c>
      <c r="B52" s="4" t="str">
        <f t="shared" si="0"/>
        <v>Delta Chemical Ind</v>
      </c>
      <c r="C52" s="4" t="s">
        <v>739</v>
      </c>
      <c r="D52" s="11">
        <f t="shared" si="1"/>
        <v>45144</v>
      </c>
      <c r="E52" s="4" t="s">
        <v>921</v>
      </c>
      <c r="F52" s="4" t="s">
        <v>828</v>
      </c>
      <c r="G52" s="10">
        <v>33345890</v>
      </c>
      <c r="H52" s="4" t="s">
        <v>29</v>
      </c>
      <c r="I52" s="4" t="str">
        <f t="shared" si="2"/>
        <v>Disbursed</v>
      </c>
      <c r="J52" s="4" t="s">
        <v>815</v>
      </c>
    </row>
    <row r="53" spans="1:10" x14ac:dyDescent="0.25">
      <c r="A53" s="4" t="s">
        <v>922</v>
      </c>
      <c r="B53" s="4" t="str">
        <f t="shared" si="0"/>
        <v>Delta Chemical Ind</v>
      </c>
      <c r="C53" s="4" t="s">
        <v>739</v>
      </c>
      <c r="D53" s="11">
        <f t="shared" si="1"/>
        <v>46148</v>
      </c>
      <c r="E53" s="4" t="s">
        <v>923</v>
      </c>
      <c r="F53" s="4" t="s">
        <v>828</v>
      </c>
      <c r="G53" s="10">
        <v>8403113</v>
      </c>
      <c r="H53" s="4" t="s">
        <v>29</v>
      </c>
      <c r="I53" s="4" t="str">
        <f t="shared" si="2"/>
        <v>Approved</v>
      </c>
      <c r="J53" s="4" t="s">
        <v>811</v>
      </c>
    </row>
    <row r="54" spans="1:10" x14ac:dyDescent="0.25">
      <c r="A54" s="4" t="s">
        <v>924</v>
      </c>
      <c r="B54" s="4" t="str">
        <f t="shared" si="0"/>
        <v>Delta Chemical Ind</v>
      </c>
      <c r="C54" s="4" t="s">
        <v>739</v>
      </c>
      <c r="D54" s="11">
        <f t="shared" si="1"/>
        <v>45147</v>
      </c>
      <c r="E54" s="4" t="s">
        <v>925</v>
      </c>
      <c r="F54" s="4" t="s">
        <v>825</v>
      </c>
      <c r="G54" s="10">
        <v>8569099</v>
      </c>
      <c r="H54" s="4" t="s">
        <v>29</v>
      </c>
      <c r="I54" s="4" t="str">
        <f t="shared" si="2"/>
        <v>Disbursed</v>
      </c>
      <c r="J54" s="4" t="s">
        <v>843</v>
      </c>
    </row>
    <row r="55" spans="1:10" x14ac:dyDescent="0.25">
      <c r="A55" s="4" t="s">
        <v>926</v>
      </c>
      <c r="B55" s="4" t="str">
        <f t="shared" si="0"/>
        <v>Delta Chemical Ind</v>
      </c>
      <c r="C55" s="4" t="s">
        <v>739</v>
      </c>
      <c r="D55" s="11">
        <f t="shared" si="1"/>
        <v>45948</v>
      </c>
      <c r="E55" s="4" t="s">
        <v>927</v>
      </c>
      <c r="F55" s="4" t="s">
        <v>831</v>
      </c>
      <c r="G55" s="10">
        <v>3559585</v>
      </c>
      <c r="H55" s="4" t="s">
        <v>29</v>
      </c>
      <c r="I55" s="4" t="str">
        <f t="shared" si="2"/>
        <v>Disbursed</v>
      </c>
      <c r="J55" s="4" t="s">
        <v>843</v>
      </c>
    </row>
    <row r="56" spans="1:10" x14ac:dyDescent="0.25">
      <c r="A56" s="4" t="s">
        <v>928</v>
      </c>
      <c r="B56" s="4" t="str">
        <f t="shared" si="0"/>
        <v>Highland Tea Trdrs</v>
      </c>
      <c r="C56" s="4" t="s">
        <v>745</v>
      </c>
      <c r="D56" s="11">
        <f t="shared" si="1"/>
        <v>45189</v>
      </c>
      <c r="E56" s="4" t="s">
        <v>929</v>
      </c>
      <c r="F56" s="4" t="s">
        <v>810</v>
      </c>
      <c r="G56" s="10">
        <v>21898569</v>
      </c>
      <c r="H56" s="4" t="s">
        <v>29</v>
      </c>
      <c r="I56" s="4" t="str">
        <f t="shared" si="2"/>
        <v>Pending Approval</v>
      </c>
      <c r="J56" s="4" t="s">
        <v>818</v>
      </c>
    </row>
    <row r="57" spans="1:10" x14ac:dyDescent="0.25">
      <c r="A57" s="4" t="s">
        <v>930</v>
      </c>
      <c r="B57" s="4" t="str">
        <f t="shared" si="0"/>
        <v>Highland Tea Trdrs</v>
      </c>
      <c r="C57" s="4" t="s">
        <v>745</v>
      </c>
      <c r="D57" s="11">
        <f t="shared" si="1"/>
        <v>45741</v>
      </c>
      <c r="E57" s="4" t="s">
        <v>931</v>
      </c>
      <c r="F57" s="4" t="s">
        <v>814</v>
      </c>
      <c r="G57" s="10">
        <v>30689960</v>
      </c>
      <c r="H57" s="4" t="s">
        <v>29</v>
      </c>
      <c r="I57" s="4" t="str">
        <f t="shared" si="2"/>
        <v>Approved</v>
      </c>
      <c r="J57" s="4" t="s">
        <v>811</v>
      </c>
    </row>
    <row r="58" spans="1:10" x14ac:dyDescent="0.25">
      <c r="A58" s="4" t="s">
        <v>932</v>
      </c>
      <c r="B58" s="4" t="str">
        <f t="shared" si="0"/>
        <v>Metro Pharma Dist.</v>
      </c>
      <c r="C58" s="4" t="s">
        <v>751</v>
      </c>
      <c r="D58" s="11">
        <f t="shared" si="1"/>
        <v>46048</v>
      </c>
      <c r="E58" s="4" t="s">
        <v>933</v>
      </c>
      <c r="F58" s="4" t="s">
        <v>821</v>
      </c>
      <c r="G58" s="10">
        <v>14885612</v>
      </c>
      <c r="H58" s="4" t="s">
        <v>29</v>
      </c>
      <c r="I58" s="4" t="str">
        <f t="shared" si="2"/>
        <v>Cancelled</v>
      </c>
      <c r="J58" s="4" t="s">
        <v>832</v>
      </c>
    </row>
    <row r="59" spans="1:10" x14ac:dyDescent="0.25">
      <c r="A59" s="4" t="s">
        <v>934</v>
      </c>
      <c r="B59" s="4" t="str">
        <f t="shared" si="0"/>
        <v>Metro Pharma Dist.</v>
      </c>
      <c r="C59" s="4" t="s">
        <v>751</v>
      </c>
      <c r="D59" s="11">
        <f t="shared" si="1"/>
        <v>46258</v>
      </c>
      <c r="E59" s="4" t="s">
        <v>935</v>
      </c>
      <c r="F59" s="4" t="s">
        <v>831</v>
      </c>
      <c r="G59" s="10">
        <v>21934649</v>
      </c>
      <c r="H59" s="4" t="s">
        <v>29</v>
      </c>
      <c r="I59" s="4" t="str">
        <f t="shared" si="2"/>
        <v>Disbursed</v>
      </c>
      <c r="J59" s="4" t="s">
        <v>843</v>
      </c>
    </row>
    <row r="60" spans="1:10" x14ac:dyDescent="0.25">
      <c r="A60" s="4" t="s">
        <v>936</v>
      </c>
      <c r="B60" s="4" t="str">
        <f t="shared" si="0"/>
        <v>Metro Pharma Dist.</v>
      </c>
      <c r="C60" s="4" t="s">
        <v>751</v>
      </c>
      <c r="D60" s="11">
        <f t="shared" si="1"/>
        <v>46020</v>
      </c>
      <c r="E60" s="4" t="s">
        <v>937</v>
      </c>
      <c r="F60" s="4" t="s">
        <v>810</v>
      </c>
      <c r="G60" s="10">
        <v>1157014</v>
      </c>
      <c r="H60" s="4" t="s">
        <v>29</v>
      </c>
      <c r="I60" s="4" t="str">
        <f t="shared" si="2"/>
        <v>Approved</v>
      </c>
      <c r="J60" s="4" t="s">
        <v>811</v>
      </c>
    </row>
    <row r="61" spans="1:10" x14ac:dyDescent="0.25">
      <c r="A61" s="4" t="s">
        <v>938</v>
      </c>
      <c r="B61" s="4" t="str">
        <f t="shared" si="0"/>
        <v>Metro Pharma Dist.</v>
      </c>
      <c r="C61" s="4" t="s">
        <v>751</v>
      </c>
      <c r="D61" s="11">
        <f t="shared" si="1"/>
        <v>45336</v>
      </c>
      <c r="E61" s="4" t="s">
        <v>939</v>
      </c>
      <c r="F61" s="4" t="s">
        <v>828</v>
      </c>
      <c r="G61" s="10">
        <v>19534443</v>
      </c>
      <c r="H61" s="4" t="s">
        <v>29</v>
      </c>
      <c r="I61" s="4" t="str">
        <f t="shared" si="2"/>
        <v>Cancelled</v>
      </c>
      <c r="J61" s="4" t="s">
        <v>832</v>
      </c>
    </row>
    <row r="62" spans="1:10" x14ac:dyDescent="0.25">
      <c r="A62" s="4" t="s">
        <v>940</v>
      </c>
      <c r="B62" s="4" t="str">
        <f t="shared" si="0"/>
        <v>Al Habib Textiles</v>
      </c>
      <c r="C62" s="4" t="s">
        <v>756</v>
      </c>
      <c r="D62" s="11">
        <f t="shared" si="1"/>
        <v>45661</v>
      </c>
      <c r="E62" s="4" t="s">
        <v>941</v>
      </c>
      <c r="F62" s="4" t="s">
        <v>825</v>
      </c>
      <c r="G62" s="10">
        <v>15353013</v>
      </c>
      <c r="H62" s="4" t="s">
        <v>29</v>
      </c>
      <c r="I62" s="4" t="str">
        <f t="shared" si="2"/>
        <v>Approved</v>
      </c>
      <c r="J62" s="4" t="s">
        <v>811</v>
      </c>
    </row>
    <row r="63" spans="1:10" x14ac:dyDescent="0.25">
      <c r="A63" s="4" t="s">
        <v>942</v>
      </c>
      <c r="B63" s="4" t="str">
        <f t="shared" si="0"/>
        <v>Al Habib Textiles</v>
      </c>
      <c r="C63" s="4" t="s">
        <v>756</v>
      </c>
      <c r="D63" s="11">
        <f t="shared" si="1"/>
        <v>45023</v>
      </c>
      <c r="E63" s="4" t="s">
        <v>943</v>
      </c>
      <c r="F63" s="4" t="s">
        <v>810</v>
      </c>
      <c r="G63" s="10">
        <v>28255286</v>
      </c>
      <c r="H63" s="4" t="s">
        <v>29</v>
      </c>
      <c r="I63" s="4" t="str">
        <f t="shared" si="2"/>
        <v>Disbursed</v>
      </c>
      <c r="J63" s="4" t="s">
        <v>815</v>
      </c>
    </row>
    <row r="64" spans="1:10" x14ac:dyDescent="0.25">
      <c r="A64" s="4" t="s">
        <v>944</v>
      </c>
      <c r="B64" s="4" t="str">
        <f t="shared" si="0"/>
        <v>Lahore Autoparts</v>
      </c>
      <c r="C64" s="4" t="s">
        <v>761</v>
      </c>
      <c r="D64" s="11">
        <f t="shared" si="1"/>
        <v>45342</v>
      </c>
      <c r="E64" s="4" t="s">
        <v>945</v>
      </c>
      <c r="F64" s="4" t="s">
        <v>810</v>
      </c>
      <c r="G64" s="10">
        <v>15436303</v>
      </c>
      <c r="H64" s="4" t="s">
        <v>29</v>
      </c>
      <c r="I64" s="4" t="str">
        <f t="shared" si="2"/>
        <v>Disbursed</v>
      </c>
      <c r="J64" s="4" t="s">
        <v>843</v>
      </c>
    </row>
    <row r="65" spans="1:10" x14ac:dyDescent="0.25">
      <c r="A65" s="4" t="s">
        <v>946</v>
      </c>
      <c r="B65" s="4" t="str">
        <f t="shared" si="0"/>
        <v>Coastal Shipping Svcs.</v>
      </c>
      <c r="C65" s="4" t="s">
        <v>767</v>
      </c>
      <c r="D65" s="11">
        <f t="shared" si="1"/>
        <v>45323</v>
      </c>
      <c r="E65" s="4" t="s">
        <v>947</v>
      </c>
      <c r="F65" s="4" t="s">
        <v>810</v>
      </c>
      <c r="G65" s="10">
        <v>12206850</v>
      </c>
      <c r="H65" s="4" t="s">
        <v>29</v>
      </c>
      <c r="I65" s="4" t="str">
        <f t="shared" si="2"/>
        <v>Disbursed</v>
      </c>
      <c r="J65" s="4" t="s">
        <v>843</v>
      </c>
    </row>
    <row r="66" spans="1:10" x14ac:dyDescent="0.25">
      <c r="A66" s="4" t="s">
        <v>948</v>
      </c>
      <c r="B66" s="4" t="str">
        <f t="shared" si="0"/>
        <v>Coastal Shipping Svcs.</v>
      </c>
      <c r="C66" s="4" t="s">
        <v>767</v>
      </c>
      <c r="D66" s="11">
        <f t="shared" si="1"/>
        <v>45699</v>
      </c>
      <c r="E66" s="4" t="s">
        <v>949</v>
      </c>
      <c r="F66" s="4" t="s">
        <v>810</v>
      </c>
      <c r="G66" s="10">
        <v>19030905</v>
      </c>
      <c r="H66" s="4" t="s">
        <v>29</v>
      </c>
      <c r="I66" s="4" t="str">
        <f t="shared" si="2"/>
        <v>Disbursed</v>
      </c>
      <c r="J66" s="4" t="s">
        <v>815</v>
      </c>
    </row>
    <row r="67" spans="1:10" x14ac:dyDescent="0.25">
      <c r="A67" s="4" t="s">
        <v>950</v>
      </c>
      <c r="B67" s="4" t="str">
        <f t="shared" ref="B67:B90" si="3">PROPER(TRIM(C67))</f>
        <v>Coastal Shipping Svcs.</v>
      </c>
      <c r="C67" s="4" t="s">
        <v>767</v>
      </c>
      <c r="D67" s="11">
        <f t="shared" ref="D67:D90" si="4">IF(ISNUMBER(E67),E67,IFERROR(DATEVALUE(E67),IFERROR(DATE(VALUE(RIGHT(E67,4)),VALUE(MID(E67,4,2)),VALUE(LEFT(E67,2))),"")))</f>
        <v>45882</v>
      </c>
      <c r="E67" s="4" t="s">
        <v>951</v>
      </c>
      <c r="F67" s="4" t="s">
        <v>828</v>
      </c>
      <c r="G67" s="10">
        <v>2980367</v>
      </c>
      <c r="H67" s="4" t="s">
        <v>29</v>
      </c>
      <c r="I67" s="4" t="str">
        <f t="shared" ref="I67:I90" si="5">PROPER(TRIM(J67))</f>
        <v>Disbursed</v>
      </c>
      <c r="J67" s="4" t="s">
        <v>843</v>
      </c>
    </row>
    <row r="68" spans="1:10" x14ac:dyDescent="0.25">
      <c r="A68" s="4" t="s">
        <v>952</v>
      </c>
      <c r="B68" s="4" t="str">
        <f t="shared" si="3"/>
        <v>Coastal Shipping Svcs.</v>
      </c>
      <c r="C68" s="4" t="s">
        <v>767</v>
      </c>
      <c r="D68" s="11">
        <f t="shared" si="4"/>
        <v>45931</v>
      </c>
      <c r="E68" s="4" t="s">
        <v>953</v>
      </c>
      <c r="F68" s="4" t="s">
        <v>831</v>
      </c>
      <c r="G68" s="10">
        <v>24330717</v>
      </c>
      <c r="H68" s="4" t="s">
        <v>29</v>
      </c>
      <c r="I68" s="4" t="str">
        <f t="shared" si="5"/>
        <v>Pending Approval</v>
      </c>
      <c r="J68" s="4" t="s">
        <v>818</v>
      </c>
    </row>
    <row r="69" spans="1:10" x14ac:dyDescent="0.25">
      <c r="A69" s="4" t="s">
        <v>954</v>
      </c>
      <c r="B69" s="4" t="str">
        <f t="shared" si="3"/>
        <v>Horizon Pharma</v>
      </c>
      <c r="C69" s="4" t="s">
        <v>773</v>
      </c>
      <c r="D69" s="11">
        <f t="shared" si="4"/>
        <v>45961</v>
      </c>
      <c r="E69" s="4" t="s">
        <v>955</v>
      </c>
      <c r="F69" s="4" t="s">
        <v>810</v>
      </c>
      <c r="G69" s="10">
        <v>27372861</v>
      </c>
      <c r="H69" s="4" t="s">
        <v>29</v>
      </c>
      <c r="I69" s="4" t="str">
        <f t="shared" si="5"/>
        <v>Cancelled</v>
      </c>
      <c r="J69" s="4" t="s">
        <v>832</v>
      </c>
    </row>
    <row r="70" spans="1:10" x14ac:dyDescent="0.25">
      <c r="A70" s="4" t="s">
        <v>956</v>
      </c>
      <c r="B70" s="4" t="str">
        <f t="shared" si="3"/>
        <v>Horizon Pharma</v>
      </c>
      <c r="C70" s="4" t="s">
        <v>773</v>
      </c>
      <c r="D70" s="11">
        <f t="shared" si="4"/>
        <v>45665</v>
      </c>
      <c r="E70" s="4" t="s">
        <v>957</v>
      </c>
      <c r="F70" s="4" t="s">
        <v>828</v>
      </c>
      <c r="G70" s="10">
        <v>32167126</v>
      </c>
      <c r="H70" s="4" t="s">
        <v>29</v>
      </c>
      <c r="I70" s="4" t="str">
        <f t="shared" si="5"/>
        <v>Disbursed</v>
      </c>
      <c r="J70" s="4" t="s">
        <v>815</v>
      </c>
    </row>
    <row r="71" spans="1:10" x14ac:dyDescent="0.25">
      <c r="A71" s="4" t="s">
        <v>958</v>
      </c>
      <c r="B71" s="4" t="str">
        <f t="shared" si="3"/>
        <v>Horizon Pharma</v>
      </c>
      <c r="C71" s="4" t="s">
        <v>773</v>
      </c>
      <c r="D71" s="11">
        <f t="shared" si="4"/>
        <v>45664</v>
      </c>
      <c r="E71" s="4" t="s">
        <v>959</v>
      </c>
      <c r="F71" s="4" t="s">
        <v>821</v>
      </c>
      <c r="G71" s="10">
        <v>16662963</v>
      </c>
      <c r="H71" s="4" t="s">
        <v>29</v>
      </c>
      <c r="I71" s="4" t="str">
        <f t="shared" si="5"/>
        <v>Disbursed</v>
      </c>
      <c r="J71" s="4" t="s">
        <v>815</v>
      </c>
    </row>
    <row r="72" spans="1:10" x14ac:dyDescent="0.25">
      <c r="A72" s="4" t="s">
        <v>960</v>
      </c>
      <c r="B72" s="4" t="str">
        <f t="shared" si="3"/>
        <v>Horizon Pharma</v>
      </c>
      <c r="C72" s="4" t="s">
        <v>773</v>
      </c>
      <c r="D72" s="11">
        <f t="shared" si="4"/>
        <v>45452</v>
      </c>
      <c r="E72" s="4" t="s">
        <v>961</v>
      </c>
      <c r="F72" s="4" t="s">
        <v>821</v>
      </c>
      <c r="G72" s="10">
        <v>19280332</v>
      </c>
      <c r="H72" s="4" t="s">
        <v>29</v>
      </c>
      <c r="I72" s="4" t="str">
        <f t="shared" si="5"/>
        <v>Disbursed</v>
      </c>
      <c r="J72" s="4" t="s">
        <v>843</v>
      </c>
    </row>
    <row r="73" spans="1:10" x14ac:dyDescent="0.25">
      <c r="A73" s="4" t="s">
        <v>962</v>
      </c>
      <c r="B73" s="4" t="str">
        <f t="shared" si="3"/>
        <v>Sunrise Textile Mill</v>
      </c>
      <c r="C73" s="4" t="s">
        <v>778</v>
      </c>
      <c r="D73" s="11">
        <f t="shared" si="4"/>
        <v>45923</v>
      </c>
      <c r="E73" s="4" t="s">
        <v>963</v>
      </c>
      <c r="F73" s="4" t="s">
        <v>814</v>
      </c>
      <c r="G73" s="10">
        <v>13219287</v>
      </c>
      <c r="H73" s="4" t="s">
        <v>29</v>
      </c>
      <c r="I73" s="4" t="str">
        <f t="shared" si="5"/>
        <v>Disbursed</v>
      </c>
      <c r="J73" s="4" t="s">
        <v>843</v>
      </c>
    </row>
    <row r="74" spans="1:10" x14ac:dyDescent="0.25">
      <c r="A74" s="4" t="s">
        <v>964</v>
      </c>
      <c r="B74" s="4" t="str">
        <f t="shared" si="3"/>
        <v>Sunrise Textile Mill</v>
      </c>
      <c r="C74" s="4" t="s">
        <v>778</v>
      </c>
      <c r="D74" s="11">
        <f t="shared" si="4"/>
        <v>46210</v>
      </c>
      <c r="E74" s="4" t="s">
        <v>965</v>
      </c>
      <c r="F74" s="4" t="s">
        <v>828</v>
      </c>
      <c r="G74" s="10">
        <v>14605940</v>
      </c>
      <c r="H74" s="4" t="s">
        <v>29</v>
      </c>
      <c r="I74" s="4" t="str">
        <f t="shared" si="5"/>
        <v>Disbursed</v>
      </c>
      <c r="J74" s="4" t="s">
        <v>843</v>
      </c>
    </row>
    <row r="75" spans="1:10" x14ac:dyDescent="0.25">
      <c r="A75" s="4" t="s">
        <v>966</v>
      </c>
      <c r="B75" s="4" t="str">
        <f t="shared" si="3"/>
        <v>Sunrise Textile Mill</v>
      </c>
      <c r="C75" s="4" t="s">
        <v>778</v>
      </c>
      <c r="D75" s="11">
        <f t="shared" si="4"/>
        <v>46251</v>
      </c>
      <c r="E75" s="4" t="s">
        <v>967</v>
      </c>
      <c r="F75" s="4" t="s">
        <v>821</v>
      </c>
      <c r="G75" s="10">
        <v>10618295</v>
      </c>
      <c r="H75" s="4" t="s">
        <v>29</v>
      </c>
      <c r="I75" s="4" t="str">
        <f t="shared" si="5"/>
        <v>Disbursed</v>
      </c>
      <c r="J75" s="4" t="s">
        <v>815</v>
      </c>
    </row>
    <row r="76" spans="1:10" x14ac:dyDescent="0.25">
      <c r="A76" s="4" t="s">
        <v>968</v>
      </c>
      <c r="B76" s="4" t="str">
        <f t="shared" si="3"/>
        <v>Sunrise Textile Mill</v>
      </c>
      <c r="C76" s="4" t="s">
        <v>778</v>
      </c>
      <c r="D76" s="11">
        <f t="shared" si="4"/>
        <v>45291</v>
      </c>
      <c r="E76" s="4" t="s">
        <v>969</v>
      </c>
      <c r="F76" s="4" t="s">
        <v>831</v>
      </c>
      <c r="G76" s="10">
        <v>5027288</v>
      </c>
      <c r="H76" s="4" t="s">
        <v>29</v>
      </c>
      <c r="I76" s="4" t="str">
        <f t="shared" si="5"/>
        <v>Disbursed</v>
      </c>
      <c r="J76" s="4" t="s">
        <v>822</v>
      </c>
    </row>
    <row r="77" spans="1:10" x14ac:dyDescent="0.25">
      <c r="A77" s="4" t="s">
        <v>970</v>
      </c>
      <c r="B77" s="4" t="str">
        <f t="shared" si="3"/>
        <v>Wazir Ali And Sons</v>
      </c>
      <c r="C77" s="4" t="s">
        <v>783</v>
      </c>
      <c r="D77" s="11">
        <f t="shared" si="4"/>
        <v>45813</v>
      </c>
      <c r="E77" s="4" t="s">
        <v>971</v>
      </c>
      <c r="F77" s="4" t="s">
        <v>825</v>
      </c>
      <c r="G77" s="10">
        <v>26439027</v>
      </c>
      <c r="H77" s="4" t="s">
        <v>29</v>
      </c>
      <c r="I77" s="4" t="str">
        <f t="shared" si="5"/>
        <v>Disbursed</v>
      </c>
      <c r="J77" s="4" t="s">
        <v>843</v>
      </c>
    </row>
    <row r="78" spans="1:10" x14ac:dyDescent="0.25">
      <c r="A78" s="4" t="s">
        <v>972</v>
      </c>
      <c r="B78" s="4" t="str">
        <f t="shared" si="3"/>
        <v>Wazir Ali And Sons</v>
      </c>
      <c r="C78" s="4" t="s">
        <v>783</v>
      </c>
      <c r="D78" s="11">
        <f t="shared" si="4"/>
        <v>46126</v>
      </c>
      <c r="E78" s="4" t="s">
        <v>973</v>
      </c>
      <c r="F78" s="4" t="s">
        <v>821</v>
      </c>
      <c r="G78" s="10">
        <v>5171395</v>
      </c>
      <c r="H78" s="4" t="s">
        <v>29</v>
      </c>
      <c r="I78" s="4" t="str">
        <f t="shared" si="5"/>
        <v>Cancelled</v>
      </c>
      <c r="J78" s="4" t="s">
        <v>832</v>
      </c>
    </row>
    <row r="79" spans="1:10" x14ac:dyDescent="0.25">
      <c r="A79" s="4" t="s">
        <v>974</v>
      </c>
      <c r="B79" s="4" t="str">
        <f t="shared" si="3"/>
        <v>Wazir Ali And Sons</v>
      </c>
      <c r="C79" s="4" t="s">
        <v>783</v>
      </c>
      <c r="D79" s="11">
        <f t="shared" si="4"/>
        <v>45503</v>
      </c>
      <c r="E79" s="4" t="s">
        <v>975</v>
      </c>
      <c r="F79" s="4" t="s">
        <v>810</v>
      </c>
      <c r="G79" s="10">
        <v>26815601</v>
      </c>
      <c r="H79" s="4" t="s">
        <v>29</v>
      </c>
      <c r="I79" s="4" t="str">
        <f t="shared" si="5"/>
        <v>Pending Approval</v>
      </c>
      <c r="J79" s="4" t="s">
        <v>818</v>
      </c>
    </row>
    <row r="80" spans="1:10" x14ac:dyDescent="0.25">
      <c r="A80" s="4" t="s">
        <v>976</v>
      </c>
      <c r="B80" s="4" t="str">
        <f t="shared" si="3"/>
        <v>Ravi River Mill</v>
      </c>
      <c r="C80" s="4" t="s">
        <v>788</v>
      </c>
      <c r="D80" s="11">
        <f t="shared" si="4"/>
        <v>46044</v>
      </c>
      <c r="E80" s="4" t="s">
        <v>977</v>
      </c>
      <c r="F80" s="4" t="s">
        <v>821</v>
      </c>
      <c r="G80" s="10">
        <v>9968745</v>
      </c>
      <c r="H80" s="4" t="s">
        <v>29</v>
      </c>
      <c r="I80" s="4" t="str">
        <f t="shared" si="5"/>
        <v>Approved</v>
      </c>
      <c r="J80" s="4" t="s">
        <v>811</v>
      </c>
    </row>
    <row r="81" spans="1:10" x14ac:dyDescent="0.25">
      <c r="A81" s="4" t="s">
        <v>978</v>
      </c>
      <c r="B81" s="4" t="str">
        <f t="shared" si="3"/>
        <v>Ravi River Mill</v>
      </c>
      <c r="C81" s="4" t="s">
        <v>788</v>
      </c>
      <c r="D81" s="11">
        <f t="shared" si="4"/>
        <v>44949</v>
      </c>
      <c r="E81" s="4" t="s">
        <v>979</v>
      </c>
      <c r="F81" s="4" t="s">
        <v>831</v>
      </c>
      <c r="G81" s="10">
        <v>9787439</v>
      </c>
      <c r="H81" s="4" t="s">
        <v>29</v>
      </c>
      <c r="I81" s="4" t="str">
        <f t="shared" si="5"/>
        <v>Disbursed</v>
      </c>
      <c r="J81" s="4" t="s">
        <v>843</v>
      </c>
    </row>
    <row r="82" spans="1:10" x14ac:dyDescent="0.25">
      <c r="A82" s="4" t="s">
        <v>980</v>
      </c>
      <c r="B82" s="4" t="str">
        <f t="shared" si="3"/>
        <v>Greenfields Agri.</v>
      </c>
      <c r="C82" s="4" t="s">
        <v>790</v>
      </c>
      <c r="D82" s="11">
        <f t="shared" si="4"/>
        <v>45551</v>
      </c>
      <c r="E82" s="4" t="s">
        <v>981</v>
      </c>
      <c r="F82" s="4" t="s">
        <v>821</v>
      </c>
      <c r="G82" s="10">
        <v>23375493</v>
      </c>
      <c r="H82" s="4" t="s">
        <v>29</v>
      </c>
      <c r="I82" s="4" t="str">
        <f t="shared" si="5"/>
        <v>Pending Approval</v>
      </c>
      <c r="J82" s="4" t="s">
        <v>818</v>
      </c>
    </row>
    <row r="83" spans="1:10" x14ac:dyDescent="0.25">
      <c r="A83" s="4" t="s">
        <v>982</v>
      </c>
      <c r="B83" s="4" t="str">
        <f t="shared" si="3"/>
        <v>Greenfields Agri.</v>
      </c>
      <c r="C83" s="4" t="s">
        <v>790</v>
      </c>
      <c r="D83" s="11">
        <f t="shared" si="4"/>
        <v>45627</v>
      </c>
      <c r="E83" s="4" t="s">
        <v>158</v>
      </c>
      <c r="F83" s="4" t="s">
        <v>831</v>
      </c>
      <c r="G83" s="10">
        <v>17261213</v>
      </c>
      <c r="H83" s="4" t="s">
        <v>29</v>
      </c>
      <c r="I83" s="4" t="str">
        <f t="shared" si="5"/>
        <v>Disbursed</v>
      </c>
      <c r="J83" s="4" t="s">
        <v>815</v>
      </c>
    </row>
    <row r="84" spans="1:10" x14ac:dyDescent="0.25">
      <c r="A84" s="4" t="s">
        <v>983</v>
      </c>
      <c r="B84" s="4" t="str">
        <f t="shared" si="3"/>
        <v>Greenfields Agri.</v>
      </c>
      <c r="C84" s="4" t="s">
        <v>790</v>
      </c>
      <c r="D84" s="11">
        <f t="shared" si="4"/>
        <v>46247</v>
      </c>
      <c r="E84" s="4" t="s">
        <v>984</v>
      </c>
      <c r="F84" s="4" t="s">
        <v>825</v>
      </c>
      <c r="G84" s="10">
        <v>19805370</v>
      </c>
      <c r="H84" s="4" t="s">
        <v>29</v>
      </c>
      <c r="I84" s="4" t="str">
        <f t="shared" si="5"/>
        <v>Disbursed</v>
      </c>
      <c r="J84" s="4" t="s">
        <v>843</v>
      </c>
    </row>
    <row r="85" spans="1:10" x14ac:dyDescent="0.25">
      <c r="A85" s="4" t="s">
        <v>985</v>
      </c>
      <c r="B85" s="4" t="str">
        <f t="shared" si="3"/>
        <v>Greenfields Agri.</v>
      </c>
      <c r="C85" s="4" t="s">
        <v>790</v>
      </c>
      <c r="D85" s="11">
        <f t="shared" si="4"/>
        <v>45604</v>
      </c>
      <c r="E85" s="4" t="s">
        <v>986</v>
      </c>
      <c r="F85" s="4" t="s">
        <v>828</v>
      </c>
      <c r="G85" s="10">
        <v>16039233</v>
      </c>
      <c r="H85" s="4" t="s">
        <v>29</v>
      </c>
      <c r="I85" s="4" t="str">
        <f t="shared" si="5"/>
        <v>Disbursed</v>
      </c>
      <c r="J85" s="4" t="s">
        <v>822</v>
      </c>
    </row>
    <row r="86" spans="1:10" x14ac:dyDescent="0.25">
      <c r="A86" s="4" t="s">
        <v>987</v>
      </c>
      <c r="B86" s="4" t="str">
        <f t="shared" si="3"/>
        <v>Alrehman Rice Mills</v>
      </c>
      <c r="C86" s="4" t="s">
        <v>796</v>
      </c>
      <c r="D86" s="11">
        <f t="shared" si="4"/>
        <v>46189</v>
      </c>
      <c r="E86" s="4" t="s">
        <v>988</v>
      </c>
      <c r="F86" s="4" t="s">
        <v>814</v>
      </c>
      <c r="G86" s="10">
        <v>10527052</v>
      </c>
      <c r="H86" s="4" t="s">
        <v>29</v>
      </c>
      <c r="I86" s="4" t="str">
        <f t="shared" si="5"/>
        <v>Pending Approval</v>
      </c>
      <c r="J86" s="4" t="s">
        <v>818</v>
      </c>
    </row>
    <row r="87" spans="1:10" x14ac:dyDescent="0.25">
      <c r="A87" s="4" t="s">
        <v>989</v>
      </c>
      <c r="B87" s="4" t="str">
        <f t="shared" si="3"/>
        <v>Alrehman Rice Mills</v>
      </c>
      <c r="C87" s="4" t="s">
        <v>796</v>
      </c>
      <c r="D87" s="11">
        <f t="shared" si="4"/>
        <v>45361</v>
      </c>
      <c r="E87" s="4" t="s">
        <v>990</v>
      </c>
      <c r="F87" s="4" t="s">
        <v>828</v>
      </c>
      <c r="G87" s="10">
        <v>29567790</v>
      </c>
      <c r="H87" s="4" t="s">
        <v>29</v>
      </c>
      <c r="I87" s="4" t="str">
        <f t="shared" si="5"/>
        <v>Cancelled</v>
      </c>
      <c r="J87" s="4" t="s">
        <v>832</v>
      </c>
    </row>
    <row r="88" spans="1:10" x14ac:dyDescent="0.25">
      <c r="A88" s="4" t="s">
        <v>991</v>
      </c>
      <c r="B88" s="4" t="str">
        <f t="shared" si="3"/>
        <v>Alrehman Rice Mills</v>
      </c>
      <c r="C88" s="4" t="s">
        <v>796</v>
      </c>
      <c r="D88" s="11">
        <f t="shared" si="4"/>
        <v>45874</v>
      </c>
      <c r="E88" s="4" t="s">
        <v>992</v>
      </c>
      <c r="F88" s="4" t="s">
        <v>814</v>
      </c>
      <c r="G88" s="10">
        <v>20799865</v>
      </c>
      <c r="H88" s="4" t="s">
        <v>29</v>
      </c>
      <c r="I88" s="4" t="str">
        <f t="shared" si="5"/>
        <v>Disbursed</v>
      </c>
      <c r="J88" s="4" t="s">
        <v>815</v>
      </c>
    </row>
    <row r="89" spans="1:10" x14ac:dyDescent="0.25">
      <c r="A89" s="4" t="s">
        <v>993</v>
      </c>
      <c r="B89" s="4" t="str">
        <f t="shared" si="3"/>
        <v>Crescent Steel Wrks</v>
      </c>
      <c r="C89" s="4" t="s">
        <v>802</v>
      </c>
      <c r="D89" s="11">
        <f t="shared" si="4"/>
        <v>46235</v>
      </c>
      <c r="E89" s="4" t="s">
        <v>994</v>
      </c>
      <c r="F89" s="4" t="s">
        <v>814</v>
      </c>
      <c r="G89" s="10">
        <v>5431303</v>
      </c>
      <c r="H89" s="4" t="s">
        <v>29</v>
      </c>
      <c r="I89" s="4" t="str">
        <f t="shared" si="5"/>
        <v>Approved</v>
      </c>
      <c r="J89" s="4" t="s">
        <v>811</v>
      </c>
    </row>
    <row r="90" spans="1:10" x14ac:dyDescent="0.25">
      <c r="A90" s="4" t="s">
        <v>995</v>
      </c>
      <c r="B90" s="4" t="str">
        <f t="shared" si="3"/>
        <v>Crescent Steel Wrks</v>
      </c>
      <c r="C90" s="4" t="s">
        <v>802</v>
      </c>
      <c r="D90" s="11">
        <f t="shared" si="4"/>
        <v>46118</v>
      </c>
      <c r="E90" s="4" t="s">
        <v>996</v>
      </c>
      <c r="F90" s="4" t="s">
        <v>810</v>
      </c>
      <c r="G90" s="10">
        <v>14578127</v>
      </c>
      <c r="H90" s="4" t="s">
        <v>29</v>
      </c>
      <c r="I90" s="4" t="str">
        <f t="shared" si="5"/>
        <v>Disbursed</v>
      </c>
      <c r="J90" s="4" t="s">
        <v>822</v>
      </c>
    </row>
  </sheetData>
  <autoFilter ref="A1:J90" xr:uid="{00000000-0009-0000-0000-000006000000}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filterMode="1"/>
  <dimension ref="A1:L66"/>
  <sheetViews>
    <sheetView workbookViewId="0">
      <pane ySplit="1" topLeftCell="A2" activePane="bottomLeft" state="frozen"/>
      <selection pane="bottomLeft" activeCell="O56" sqref="O56"/>
    </sheetView>
  </sheetViews>
  <sheetFormatPr defaultRowHeight="15" x14ac:dyDescent="0.25"/>
  <cols>
    <col min="1" max="1" width="12" customWidth="1"/>
    <col min="2" max="2" width="27" customWidth="1"/>
    <col min="3" max="3" width="33" hidden="1" customWidth="1"/>
    <col min="4" max="4" width="25" style="15" customWidth="1"/>
    <col min="5" max="5" width="20" style="15" hidden="1" customWidth="1"/>
    <col min="6" max="6" width="20" style="15" customWidth="1"/>
    <col min="7" max="7" width="20" hidden="1" customWidth="1"/>
    <col min="8" max="8" width="15" style="17" customWidth="1"/>
    <col min="9" max="9" width="15" customWidth="1"/>
    <col min="10" max="10" width="22.7109375" customWidth="1"/>
    <col min="11" max="11" width="16" hidden="1" customWidth="1"/>
    <col min="12" max="12" width="0" hidden="1" customWidth="1"/>
  </cols>
  <sheetData>
    <row r="1" spans="1:12" x14ac:dyDescent="0.25">
      <c r="A1" s="3" t="s">
        <v>997</v>
      </c>
      <c r="B1" s="3" t="s">
        <v>804</v>
      </c>
      <c r="C1" s="3" t="s">
        <v>804</v>
      </c>
      <c r="D1" s="14" t="s">
        <v>998</v>
      </c>
      <c r="E1" s="14" t="s">
        <v>998</v>
      </c>
      <c r="F1" s="14" t="s">
        <v>999</v>
      </c>
      <c r="G1" s="3" t="s">
        <v>999</v>
      </c>
      <c r="H1" s="16" t="s">
        <v>1000</v>
      </c>
      <c r="I1" s="3" t="s">
        <v>1001</v>
      </c>
      <c r="J1" s="3" t="s">
        <v>1002</v>
      </c>
      <c r="K1" s="3" t="s">
        <v>1002</v>
      </c>
      <c r="L1" s="3" t="s">
        <v>1218</v>
      </c>
    </row>
    <row r="2" spans="1:12" x14ac:dyDescent="0.25">
      <c r="A2" s="4" t="s">
        <v>1003</v>
      </c>
      <c r="B2" s="4" t="str">
        <f>PROPER(TRIM(C2))</f>
        <v>Skyline Real Estate Dev.</v>
      </c>
      <c r="C2" s="4" t="s">
        <v>641</v>
      </c>
      <c r="D2" s="11">
        <f>IF(ISNUMBER(E2),E2,IFERROR(DATEVALUE(E2),IFERROR(DATE(VALUE(RIGHT(E2,4)),VALUE(MID(E2,4,2)),VALUE(LEFT(E2,2))),"")))</f>
        <v>46134</v>
      </c>
      <c r="E2" s="11" t="s">
        <v>621</v>
      </c>
      <c r="F2" s="11">
        <f>IF(ISNUMBER(G2),G2,IFERROR(DATEVALUE(G2),IFERROR(DATE(VALUE(RIGHT(G2,4)),VALUE(MID(G2,4,2)),VALUE(LEFT(G2,2))),"")))</f>
        <v>45522</v>
      </c>
      <c r="G2" s="4" t="s">
        <v>1004</v>
      </c>
      <c r="H2" s="10">
        <v>3392514</v>
      </c>
      <c r="I2" s="10">
        <v>3392514</v>
      </c>
      <c r="J2" s="10" t="str">
        <f>PROPER(TRIM(K2))</f>
        <v>Paid</v>
      </c>
      <c r="K2" s="4" t="s">
        <v>1005</v>
      </c>
      <c r="L2" t="str">
        <f>IF(D2&lt;F2,"CHECK","")</f>
        <v/>
      </c>
    </row>
    <row r="3" spans="1:12" x14ac:dyDescent="0.25">
      <c r="A3" s="4" t="s">
        <v>1006</v>
      </c>
      <c r="B3" s="4" t="str">
        <f t="shared" ref="B3:B65" si="0">PROPER(TRIM(C3))</f>
        <v>Skyline Real Estate Dev.</v>
      </c>
      <c r="C3" s="4" t="s">
        <v>641</v>
      </c>
      <c r="D3" s="11">
        <f t="shared" ref="D3:D65" si="1">IF(ISNUMBER(E3),E3,IFERROR(DATEVALUE(E3),IFERROR(DATE(VALUE(RIGHT(E3,4)),VALUE(MID(E3,4,2)),VALUE(LEFT(E3,2))),"")))</f>
        <v>45695</v>
      </c>
      <c r="E3" s="11" t="s">
        <v>1007</v>
      </c>
      <c r="F3" s="11">
        <f t="shared" ref="F3:F65" si="2">IF(ISNUMBER(G3),G3,IFERROR(DATEVALUE(G3),IFERROR(DATE(VALUE(RIGHT(G3,4)),VALUE(MID(G3,4,2)),VALUE(LEFT(G3,2))),"")))</f>
        <v>45293</v>
      </c>
      <c r="G3" s="4" t="s">
        <v>1008</v>
      </c>
      <c r="H3" s="10">
        <v>4412891</v>
      </c>
      <c r="I3" s="10">
        <v>4412891</v>
      </c>
      <c r="J3" s="10" t="str">
        <f t="shared" ref="J3:J66" si="3">PROPER(TRIM(K3))</f>
        <v>Outstanding</v>
      </c>
      <c r="K3" s="4" t="s">
        <v>1009</v>
      </c>
      <c r="L3" t="str">
        <f t="shared" ref="L3:L66" si="4">IF(D3&lt;F3,"CHECK","")</f>
        <v/>
      </c>
    </row>
    <row r="4" spans="1:12" x14ac:dyDescent="0.25">
      <c r="A4" s="4" t="s">
        <v>1010</v>
      </c>
      <c r="B4" s="4" t="str">
        <f t="shared" si="0"/>
        <v>Millennium Plastic'S</v>
      </c>
      <c r="C4" s="4" t="s">
        <v>646</v>
      </c>
      <c r="D4" s="11">
        <f t="shared" si="1"/>
        <v>45987</v>
      </c>
      <c r="E4" s="11" t="s">
        <v>1011</v>
      </c>
      <c r="F4" s="11">
        <f t="shared" si="2"/>
        <v>45721</v>
      </c>
      <c r="G4" s="4" t="s">
        <v>1012</v>
      </c>
      <c r="H4" s="10">
        <v>459103</v>
      </c>
      <c r="I4" s="10">
        <v>459103</v>
      </c>
      <c r="J4" s="10" t="str">
        <f t="shared" si="3"/>
        <v>Outstanding</v>
      </c>
      <c r="K4" s="4" t="s">
        <v>1009</v>
      </c>
      <c r="L4" t="str">
        <f t="shared" si="4"/>
        <v/>
      </c>
    </row>
    <row r="5" spans="1:12" x14ac:dyDescent="0.25">
      <c r="A5" s="4" t="s">
        <v>1013</v>
      </c>
      <c r="B5" s="4" t="str">
        <f t="shared" si="0"/>
        <v>Millennium Plastic'S</v>
      </c>
      <c r="C5" s="4" t="s">
        <v>646</v>
      </c>
      <c r="D5" s="11">
        <f t="shared" si="1"/>
        <v>46094</v>
      </c>
      <c r="E5" s="11" t="s">
        <v>1014</v>
      </c>
      <c r="F5" s="11">
        <f t="shared" si="2"/>
        <v>45698</v>
      </c>
      <c r="G5" s="4" t="s">
        <v>1015</v>
      </c>
      <c r="H5" s="10">
        <v>4953912</v>
      </c>
      <c r="I5" s="10">
        <v>3715434</v>
      </c>
      <c r="J5" s="10" t="str">
        <f t="shared" si="3"/>
        <v>Paid</v>
      </c>
      <c r="K5" s="4" t="s">
        <v>1005</v>
      </c>
      <c r="L5" t="str">
        <f t="shared" si="4"/>
        <v/>
      </c>
    </row>
    <row r="6" spans="1:12" x14ac:dyDescent="0.25">
      <c r="A6" s="4" t="s">
        <v>1016</v>
      </c>
      <c r="B6" s="4" t="str">
        <f t="shared" si="0"/>
        <v>National Grain Trdrs.</v>
      </c>
      <c r="C6" s="4" t="s">
        <v>652</v>
      </c>
      <c r="D6" s="11">
        <f t="shared" si="1"/>
        <v>45914</v>
      </c>
      <c r="E6" s="11" t="s">
        <v>1017</v>
      </c>
      <c r="F6" s="11">
        <f t="shared" si="2"/>
        <v>44940</v>
      </c>
      <c r="G6" s="4" t="s">
        <v>1018</v>
      </c>
      <c r="H6" s="10">
        <v>2994340</v>
      </c>
      <c r="I6" s="10">
        <v>0</v>
      </c>
      <c r="J6" s="10" t="str">
        <f t="shared" si="3"/>
        <v>Outstanding</v>
      </c>
      <c r="K6" s="4" t="s">
        <v>1019</v>
      </c>
      <c r="L6" t="str">
        <f t="shared" si="4"/>
        <v/>
      </c>
    </row>
    <row r="7" spans="1:12" hidden="1" x14ac:dyDescent="0.25">
      <c r="A7" s="4" t="s">
        <v>1020</v>
      </c>
      <c r="B7" s="4" t="str">
        <f t="shared" si="0"/>
        <v>National Grain Trdrs.</v>
      </c>
      <c r="C7" s="4" t="s">
        <v>652</v>
      </c>
      <c r="D7" s="11">
        <f t="shared" si="1"/>
        <v>45309</v>
      </c>
      <c r="E7" s="11" t="s">
        <v>1021</v>
      </c>
      <c r="F7" s="11">
        <f t="shared" si="2"/>
        <v>45668</v>
      </c>
      <c r="G7" s="4" t="s">
        <v>1022</v>
      </c>
      <c r="H7" s="10">
        <v>1874334</v>
      </c>
      <c r="I7" s="10">
        <v>1874334</v>
      </c>
      <c r="J7" s="10" t="str">
        <f t="shared" si="3"/>
        <v>Paid</v>
      </c>
      <c r="K7" s="4" t="s">
        <v>1005</v>
      </c>
      <c r="L7" t="str">
        <f t="shared" si="4"/>
        <v>CHECK</v>
      </c>
    </row>
    <row r="8" spans="1:12" x14ac:dyDescent="0.25">
      <c r="A8" s="4" t="s">
        <v>1023</v>
      </c>
      <c r="B8" s="4" t="str">
        <f t="shared" si="0"/>
        <v>National Grain Trdrs.</v>
      </c>
      <c r="C8" s="4" t="s">
        <v>652</v>
      </c>
      <c r="D8" s="11">
        <f t="shared" si="1"/>
        <v>45426</v>
      </c>
      <c r="E8" s="11" t="s">
        <v>1024</v>
      </c>
      <c r="F8" s="11">
        <f t="shared" si="2"/>
        <v>45188</v>
      </c>
      <c r="G8" s="4" t="s">
        <v>1025</v>
      </c>
      <c r="H8" s="10">
        <v>3546872</v>
      </c>
      <c r="I8" s="10">
        <v>3546872</v>
      </c>
      <c r="J8" s="10" t="str">
        <f t="shared" si="3"/>
        <v>Paid</v>
      </c>
      <c r="K8" s="4" t="s">
        <v>1005</v>
      </c>
      <c r="L8" t="str">
        <f t="shared" si="4"/>
        <v/>
      </c>
    </row>
    <row r="9" spans="1:12" hidden="1" x14ac:dyDescent="0.25">
      <c r="A9" s="4" t="s">
        <v>1026</v>
      </c>
      <c r="B9" s="4" t="str">
        <f t="shared" si="0"/>
        <v>Falcon Foods Pvt. Ltd.</v>
      </c>
      <c r="C9" s="4" t="s">
        <v>657</v>
      </c>
      <c r="D9" s="11">
        <f t="shared" si="1"/>
        <v>45370</v>
      </c>
      <c r="E9" s="11" t="s">
        <v>1027</v>
      </c>
      <c r="F9" s="11">
        <f t="shared" si="2"/>
        <v>46169</v>
      </c>
      <c r="G9" s="4" t="s">
        <v>1028</v>
      </c>
      <c r="H9" s="10">
        <v>2477789</v>
      </c>
      <c r="I9" s="10">
        <v>2477789</v>
      </c>
      <c r="J9" s="10" t="str">
        <f t="shared" si="3"/>
        <v>Paid</v>
      </c>
      <c r="K9" s="4" t="s">
        <v>1005</v>
      </c>
      <c r="L9" t="str">
        <f t="shared" si="4"/>
        <v>CHECK</v>
      </c>
    </row>
    <row r="10" spans="1:12" hidden="1" x14ac:dyDescent="0.25">
      <c r="A10" s="4" t="s">
        <v>1029</v>
      </c>
      <c r="B10" s="4" t="str">
        <f t="shared" si="0"/>
        <v>Falcon Foods Pvt. Ltd.</v>
      </c>
      <c r="C10" s="4" t="s">
        <v>657</v>
      </c>
      <c r="D10" s="11">
        <f t="shared" si="1"/>
        <v>45855</v>
      </c>
      <c r="E10" s="11" t="s">
        <v>1030</v>
      </c>
      <c r="F10" s="11">
        <f t="shared" si="2"/>
        <v>46136</v>
      </c>
      <c r="G10" s="4" t="s">
        <v>1031</v>
      </c>
      <c r="H10" s="10">
        <v>1506951</v>
      </c>
      <c r="I10" s="10">
        <v>753475</v>
      </c>
      <c r="J10" s="10" t="str">
        <f t="shared" si="3"/>
        <v>Overdue</v>
      </c>
      <c r="K10" s="4" t="s">
        <v>1032</v>
      </c>
      <c r="L10" t="str">
        <f t="shared" si="4"/>
        <v>CHECK</v>
      </c>
    </row>
    <row r="11" spans="1:12" hidden="1" x14ac:dyDescent="0.25">
      <c r="A11" s="4" t="s">
        <v>1033</v>
      </c>
      <c r="B11" s="4" t="str">
        <f t="shared" si="0"/>
        <v>Falcon Foods Pvt. Ltd.</v>
      </c>
      <c r="C11" s="4" t="s">
        <v>657</v>
      </c>
      <c r="D11" s="11">
        <f t="shared" si="1"/>
        <v>45901</v>
      </c>
      <c r="E11" s="11" t="s">
        <v>1034</v>
      </c>
      <c r="F11" s="11">
        <f t="shared" si="2"/>
        <v>46155</v>
      </c>
      <c r="G11" s="4" t="s">
        <v>1035</v>
      </c>
      <c r="H11" s="10">
        <v>907811</v>
      </c>
      <c r="I11" s="10">
        <v>907811</v>
      </c>
      <c r="J11" s="10" t="str">
        <f t="shared" si="3"/>
        <v>Overdue</v>
      </c>
      <c r="K11" s="4" t="s">
        <v>1032</v>
      </c>
      <c r="L11" t="str">
        <f t="shared" si="4"/>
        <v>CHECK</v>
      </c>
    </row>
    <row r="12" spans="1:12" hidden="1" x14ac:dyDescent="0.25">
      <c r="A12" s="4" t="s">
        <v>1036</v>
      </c>
      <c r="B12" s="4" t="str">
        <f t="shared" si="0"/>
        <v>Prime Motors</v>
      </c>
      <c r="C12" s="4" t="s">
        <v>663</v>
      </c>
      <c r="D12" s="11">
        <f t="shared" si="1"/>
        <v>45805</v>
      </c>
      <c r="E12" s="11" t="s">
        <v>1037</v>
      </c>
      <c r="F12" s="11">
        <f t="shared" si="2"/>
        <v>45914</v>
      </c>
      <c r="G12" s="4" t="s">
        <v>1038</v>
      </c>
      <c r="H12" s="10">
        <v>464386</v>
      </c>
      <c r="I12" s="10">
        <v>348289</v>
      </c>
      <c r="J12" s="10" t="str">
        <f t="shared" si="3"/>
        <v>Partially Paid</v>
      </c>
      <c r="K12" s="4" t="s">
        <v>1039</v>
      </c>
      <c r="L12" t="str">
        <f t="shared" si="4"/>
        <v>CHECK</v>
      </c>
    </row>
    <row r="13" spans="1:12" x14ac:dyDescent="0.25">
      <c r="A13" s="4" t="s">
        <v>1040</v>
      </c>
      <c r="B13" s="4" t="str">
        <f t="shared" si="0"/>
        <v>Prime Motors</v>
      </c>
      <c r="C13" s="4" t="s">
        <v>663</v>
      </c>
      <c r="D13" s="11">
        <f t="shared" si="1"/>
        <v>46040</v>
      </c>
      <c r="E13" s="11" t="s">
        <v>1041</v>
      </c>
      <c r="F13" s="11">
        <f t="shared" si="2"/>
        <v>45602</v>
      </c>
      <c r="G13" s="4" t="s">
        <v>1042</v>
      </c>
      <c r="H13" s="10">
        <v>2476213</v>
      </c>
      <c r="I13" s="10">
        <v>1857159</v>
      </c>
      <c r="J13" s="10" t="str">
        <f t="shared" si="3"/>
        <v>Outstanding</v>
      </c>
      <c r="K13" s="4" t="s">
        <v>1019</v>
      </c>
      <c r="L13" t="str">
        <f t="shared" si="4"/>
        <v/>
      </c>
    </row>
    <row r="14" spans="1:12" hidden="1" x14ac:dyDescent="0.25">
      <c r="A14" s="4" t="s">
        <v>1043</v>
      </c>
      <c r="B14" s="4" t="str">
        <f t="shared" si="0"/>
        <v>Prime Motors</v>
      </c>
      <c r="C14" s="4" t="s">
        <v>663</v>
      </c>
      <c r="D14" s="11">
        <f t="shared" si="1"/>
        <v>45115</v>
      </c>
      <c r="E14" s="11" t="s">
        <v>1044</v>
      </c>
      <c r="F14" s="11">
        <f t="shared" si="2"/>
        <v>45799</v>
      </c>
      <c r="G14" s="4" t="s">
        <v>1045</v>
      </c>
      <c r="H14" s="10">
        <v>3529641</v>
      </c>
      <c r="I14" s="10">
        <v>1764820</v>
      </c>
      <c r="J14" s="10" t="str">
        <f t="shared" si="3"/>
        <v>Partially Paid</v>
      </c>
      <c r="K14" s="4" t="s">
        <v>1039</v>
      </c>
      <c r="L14" t="str">
        <f t="shared" si="4"/>
        <v>CHECK</v>
      </c>
    </row>
    <row r="15" spans="1:12" x14ac:dyDescent="0.25">
      <c r="A15" s="4" t="s">
        <v>1046</v>
      </c>
      <c r="B15" s="4" t="str">
        <f t="shared" si="0"/>
        <v>Punjab Dairy Farm'S</v>
      </c>
      <c r="C15" s="4" t="s">
        <v>669</v>
      </c>
      <c r="D15" s="11">
        <f t="shared" si="1"/>
        <v>46072</v>
      </c>
      <c r="E15" s="11" t="s">
        <v>1047</v>
      </c>
      <c r="F15" s="11">
        <f t="shared" si="2"/>
        <v>45917</v>
      </c>
      <c r="G15" s="4" t="s">
        <v>1048</v>
      </c>
      <c r="H15" s="10">
        <v>1599208</v>
      </c>
      <c r="I15" s="10">
        <v>799604</v>
      </c>
      <c r="J15" s="10" t="str">
        <f t="shared" si="3"/>
        <v>Partially Paid</v>
      </c>
      <c r="K15" s="4" t="s">
        <v>1039</v>
      </c>
      <c r="L15" t="str">
        <f t="shared" si="4"/>
        <v/>
      </c>
    </row>
    <row r="16" spans="1:12" hidden="1" x14ac:dyDescent="0.25">
      <c r="A16" s="4" t="s">
        <v>1049</v>
      </c>
      <c r="B16" s="4" t="str">
        <f t="shared" si="0"/>
        <v>Punjab Dairy Farm'S</v>
      </c>
      <c r="C16" s="4" t="s">
        <v>669</v>
      </c>
      <c r="D16" s="11">
        <f t="shared" si="1"/>
        <v>45366</v>
      </c>
      <c r="E16" s="11" t="s">
        <v>1050</v>
      </c>
      <c r="F16" s="11">
        <f t="shared" si="2"/>
        <v>45747</v>
      </c>
      <c r="G16" s="4" t="s">
        <v>1051</v>
      </c>
      <c r="H16" s="10">
        <v>1457235</v>
      </c>
      <c r="I16" s="10">
        <v>1457235</v>
      </c>
      <c r="J16" s="10" t="str">
        <f t="shared" si="3"/>
        <v>Overdue</v>
      </c>
      <c r="K16" s="4" t="s">
        <v>1032</v>
      </c>
      <c r="L16" t="str">
        <f t="shared" si="4"/>
        <v>CHECK</v>
      </c>
    </row>
    <row r="17" spans="1:12" x14ac:dyDescent="0.25">
      <c r="A17" s="4" t="s">
        <v>1052</v>
      </c>
      <c r="B17" s="4" t="str">
        <f t="shared" si="0"/>
        <v>Punjab Dairy Farm'S</v>
      </c>
      <c r="C17" s="4" t="s">
        <v>669</v>
      </c>
      <c r="D17" s="11">
        <f t="shared" si="1"/>
        <v>45381</v>
      </c>
      <c r="E17" s="11" t="s">
        <v>1053</v>
      </c>
      <c r="F17" s="11">
        <f t="shared" si="2"/>
        <v>45090</v>
      </c>
      <c r="G17" s="4" t="s">
        <v>1054</v>
      </c>
      <c r="H17" s="10">
        <v>637545</v>
      </c>
      <c r="I17" s="10">
        <v>318772</v>
      </c>
      <c r="J17" s="10" t="str">
        <f t="shared" si="3"/>
        <v>Partially Paid</v>
      </c>
      <c r="K17" s="4" t="s">
        <v>1039</v>
      </c>
      <c r="L17" t="str">
        <f t="shared" si="4"/>
        <v/>
      </c>
    </row>
    <row r="18" spans="1:12" x14ac:dyDescent="0.25">
      <c r="A18" s="4" t="s">
        <v>1055</v>
      </c>
      <c r="B18" s="4" t="str">
        <f t="shared" si="0"/>
        <v>Silverline Construction</v>
      </c>
      <c r="C18" s="4" t="s">
        <v>674</v>
      </c>
      <c r="D18" s="11">
        <f t="shared" si="1"/>
        <v>45988</v>
      </c>
      <c r="E18" s="11" t="s">
        <v>1056</v>
      </c>
      <c r="F18" s="11">
        <f t="shared" si="2"/>
        <v>45325</v>
      </c>
      <c r="G18" s="4" t="s">
        <v>1057</v>
      </c>
      <c r="H18" s="10">
        <v>189845</v>
      </c>
      <c r="I18" s="10">
        <v>189845</v>
      </c>
      <c r="J18" s="10" t="str">
        <f t="shared" si="3"/>
        <v>Outstanding</v>
      </c>
      <c r="K18" s="4" t="s">
        <v>1009</v>
      </c>
      <c r="L18" t="str">
        <f t="shared" si="4"/>
        <v/>
      </c>
    </row>
    <row r="19" spans="1:12" x14ac:dyDescent="0.25">
      <c r="A19" s="4" t="s">
        <v>1058</v>
      </c>
      <c r="B19" s="4" t="str">
        <f t="shared" si="0"/>
        <v>Silverline Construction</v>
      </c>
      <c r="C19" s="4" t="s">
        <v>674</v>
      </c>
      <c r="D19" s="11">
        <f t="shared" si="1"/>
        <v>45757</v>
      </c>
      <c r="E19" s="11" t="s">
        <v>1059</v>
      </c>
      <c r="F19" s="11">
        <f t="shared" si="2"/>
        <v>45337</v>
      </c>
      <c r="G19" s="4" t="s">
        <v>1060</v>
      </c>
      <c r="H19" s="10">
        <v>3062249</v>
      </c>
      <c r="I19" s="10">
        <v>0</v>
      </c>
      <c r="J19" s="10" t="str">
        <f t="shared" si="3"/>
        <v>Paid</v>
      </c>
      <c r="K19" s="4" t="s">
        <v>1005</v>
      </c>
      <c r="L19" t="str">
        <f t="shared" si="4"/>
        <v/>
      </c>
    </row>
    <row r="20" spans="1:12" x14ac:dyDescent="0.25">
      <c r="A20" s="4" t="s">
        <v>1061</v>
      </c>
      <c r="B20" s="4" t="str">
        <f t="shared" si="0"/>
        <v>Silverline Construction</v>
      </c>
      <c r="C20" s="4" t="s">
        <v>674</v>
      </c>
      <c r="D20" s="11">
        <f t="shared" si="1"/>
        <v>45639</v>
      </c>
      <c r="E20" s="11" t="s">
        <v>1062</v>
      </c>
      <c r="F20" s="11">
        <f t="shared" si="2"/>
        <v>45493</v>
      </c>
      <c r="G20" s="4" t="s">
        <v>1063</v>
      </c>
      <c r="H20" s="10">
        <v>4790187</v>
      </c>
      <c r="I20" s="10">
        <v>3592640</v>
      </c>
      <c r="J20" s="10" t="str">
        <f t="shared" si="3"/>
        <v>Paid</v>
      </c>
      <c r="K20" s="4" t="s">
        <v>1064</v>
      </c>
      <c r="L20" t="str">
        <f t="shared" si="4"/>
        <v/>
      </c>
    </row>
    <row r="21" spans="1:12" hidden="1" x14ac:dyDescent="0.25">
      <c r="A21" s="4" t="s">
        <v>1065</v>
      </c>
      <c r="B21" s="4" t="str">
        <f t="shared" si="0"/>
        <v>Everest Trdg. Co</v>
      </c>
      <c r="C21" s="4" t="s">
        <v>680</v>
      </c>
      <c r="D21" s="11">
        <f t="shared" si="1"/>
        <v>45454</v>
      </c>
      <c r="E21" s="11" t="s">
        <v>1066</v>
      </c>
      <c r="F21" s="11">
        <f t="shared" si="2"/>
        <v>46104</v>
      </c>
      <c r="G21" s="4" t="s">
        <v>1067</v>
      </c>
      <c r="H21" s="10">
        <v>1081542</v>
      </c>
      <c r="I21" s="10">
        <v>811156</v>
      </c>
      <c r="J21" s="10" t="str">
        <f t="shared" si="3"/>
        <v>Outstanding</v>
      </c>
      <c r="K21" s="4" t="s">
        <v>1019</v>
      </c>
      <c r="L21" t="str">
        <f t="shared" si="4"/>
        <v>CHECK</v>
      </c>
    </row>
    <row r="22" spans="1:12" x14ac:dyDescent="0.25">
      <c r="A22" s="4" t="s">
        <v>1068</v>
      </c>
      <c r="B22" s="4" t="str">
        <f t="shared" si="0"/>
        <v>Everest Trdg. Co</v>
      </c>
      <c r="C22" s="4" t="s">
        <v>680</v>
      </c>
      <c r="D22" s="11">
        <f t="shared" si="1"/>
        <v>45165</v>
      </c>
      <c r="E22" s="11" t="s">
        <v>1069</v>
      </c>
      <c r="F22" s="11">
        <f t="shared" si="2"/>
        <v>45065</v>
      </c>
      <c r="G22" s="4" t="s">
        <v>1070</v>
      </c>
      <c r="H22" s="10">
        <v>329434</v>
      </c>
      <c r="I22" s="10">
        <v>0</v>
      </c>
      <c r="J22" s="10" t="str">
        <f t="shared" si="3"/>
        <v>Overdue</v>
      </c>
      <c r="K22" s="4" t="s">
        <v>1032</v>
      </c>
      <c r="L22" t="str">
        <f t="shared" si="4"/>
        <v/>
      </c>
    </row>
    <row r="23" spans="1:12" hidden="1" x14ac:dyDescent="0.25">
      <c r="A23" s="4" t="s">
        <v>1071</v>
      </c>
      <c r="B23" s="4" t="str">
        <f t="shared" si="0"/>
        <v>Ravi River Mill</v>
      </c>
      <c r="C23" s="4" t="s">
        <v>685</v>
      </c>
      <c r="D23" s="11">
        <f t="shared" si="1"/>
        <v>45515</v>
      </c>
      <c r="E23" s="11" t="s">
        <v>1072</v>
      </c>
      <c r="F23" s="11">
        <f t="shared" si="2"/>
        <v>45744</v>
      </c>
      <c r="G23" s="4" t="s">
        <v>1073</v>
      </c>
      <c r="H23" s="10">
        <v>2309137</v>
      </c>
      <c r="I23" s="10">
        <v>2309137</v>
      </c>
      <c r="J23" s="10" t="str">
        <f t="shared" si="3"/>
        <v>Partially Paid</v>
      </c>
      <c r="K23" s="4" t="s">
        <v>1039</v>
      </c>
      <c r="L23" t="str">
        <f t="shared" si="4"/>
        <v>CHECK</v>
      </c>
    </row>
    <row r="24" spans="1:12" hidden="1" x14ac:dyDescent="0.25">
      <c r="A24" s="4" t="s">
        <v>1074</v>
      </c>
      <c r="B24" s="4" t="str">
        <f t="shared" si="0"/>
        <v>Ravi River Mill</v>
      </c>
      <c r="C24" s="4" t="s">
        <v>685</v>
      </c>
      <c r="D24" s="11">
        <f t="shared" si="1"/>
        <v>45407</v>
      </c>
      <c r="E24" s="11" t="s">
        <v>1075</v>
      </c>
      <c r="F24" s="11">
        <f t="shared" si="2"/>
        <v>45422</v>
      </c>
      <c r="G24" s="4" t="s">
        <v>1076</v>
      </c>
      <c r="H24" s="10">
        <v>4285909</v>
      </c>
      <c r="I24" s="10">
        <v>4285909</v>
      </c>
      <c r="J24" s="10" t="str">
        <f t="shared" si="3"/>
        <v>Outstanding</v>
      </c>
      <c r="K24" s="4" t="s">
        <v>1019</v>
      </c>
      <c r="L24" t="str">
        <f t="shared" si="4"/>
        <v>CHECK</v>
      </c>
    </row>
    <row r="25" spans="1:12" hidden="1" x14ac:dyDescent="0.25">
      <c r="A25" s="4" t="s">
        <v>1077</v>
      </c>
      <c r="B25" s="4" t="str">
        <f t="shared" si="0"/>
        <v>Zenith Apparel Manufacturing Co</v>
      </c>
      <c r="C25" s="4" t="s">
        <v>691</v>
      </c>
      <c r="D25" s="11">
        <f t="shared" si="1"/>
        <v>45914</v>
      </c>
      <c r="E25" s="11" t="s">
        <v>1078</v>
      </c>
      <c r="F25" s="11">
        <f t="shared" si="2"/>
        <v>46198</v>
      </c>
      <c r="G25" s="4" t="s">
        <v>1079</v>
      </c>
      <c r="H25" s="10">
        <v>4642212</v>
      </c>
      <c r="I25" s="10">
        <v>4642212</v>
      </c>
      <c r="J25" s="10" t="str">
        <f t="shared" si="3"/>
        <v>Outstanding</v>
      </c>
      <c r="K25" s="4" t="s">
        <v>1009</v>
      </c>
      <c r="L25" t="str">
        <f t="shared" si="4"/>
        <v>CHECK</v>
      </c>
    </row>
    <row r="26" spans="1:12" hidden="1" x14ac:dyDescent="0.25">
      <c r="A26" s="4" t="s">
        <v>1080</v>
      </c>
      <c r="B26" s="4" t="str">
        <f t="shared" si="0"/>
        <v>Zenith Apparel Manufacturing Co</v>
      </c>
      <c r="C26" s="4" t="s">
        <v>691</v>
      </c>
      <c r="D26" s="11">
        <f t="shared" si="1"/>
        <v>45189</v>
      </c>
      <c r="E26" s="11" t="s">
        <v>929</v>
      </c>
      <c r="F26" s="11">
        <f t="shared" si="2"/>
        <v>46003</v>
      </c>
      <c r="G26" s="4" t="s">
        <v>1081</v>
      </c>
      <c r="H26" s="10">
        <v>1963049</v>
      </c>
      <c r="I26" s="10">
        <v>1472286</v>
      </c>
      <c r="J26" s="10" t="str">
        <f t="shared" si="3"/>
        <v>Paid</v>
      </c>
      <c r="K26" s="4" t="s">
        <v>1064</v>
      </c>
      <c r="L26" t="str">
        <f t="shared" si="4"/>
        <v>CHECK</v>
      </c>
    </row>
    <row r="27" spans="1:12" hidden="1" x14ac:dyDescent="0.25">
      <c r="A27" s="4" t="s">
        <v>1082</v>
      </c>
      <c r="B27" s="4" t="str">
        <f t="shared" si="0"/>
        <v>Zenith Apparel Manufacturing Co</v>
      </c>
      <c r="C27" s="4" t="s">
        <v>691</v>
      </c>
      <c r="D27" s="11">
        <f t="shared" si="1"/>
        <v>44951</v>
      </c>
      <c r="E27" s="11" t="s">
        <v>1083</v>
      </c>
      <c r="F27" s="11">
        <f t="shared" si="2"/>
        <v>45358</v>
      </c>
      <c r="G27" s="4" t="s">
        <v>1084</v>
      </c>
      <c r="H27" s="10">
        <v>2747874</v>
      </c>
      <c r="I27" s="10">
        <v>2747874</v>
      </c>
      <c r="J27" s="10" t="str">
        <f t="shared" si="3"/>
        <v>Paid</v>
      </c>
      <c r="K27" s="4" t="s">
        <v>1005</v>
      </c>
      <c r="L27" t="str">
        <f t="shared" si="4"/>
        <v>CHECK</v>
      </c>
    </row>
    <row r="28" spans="1:12" x14ac:dyDescent="0.25">
      <c r="A28" s="4" t="s">
        <v>1085</v>
      </c>
      <c r="B28" s="4" t="str">
        <f t="shared" si="0"/>
        <v>Pearl Cont. Exports</v>
      </c>
      <c r="C28" s="4" t="s">
        <v>696</v>
      </c>
      <c r="D28" s="11">
        <f t="shared" si="1"/>
        <v>45795</v>
      </c>
      <c r="E28" s="11" t="s">
        <v>1086</v>
      </c>
      <c r="F28" s="11">
        <f t="shared" si="2"/>
        <v>45785</v>
      </c>
      <c r="G28" s="4" t="s">
        <v>1087</v>
      </c>
      <c r="H28" s="10">
        <v>1642779</v>
      </c>
      <c r="I28" s="10">
        <v>0</v>
      </c>
      <c r="J28" s="10" t="str">
        <f t="shared" si="3"/>
        <v>Partially Paid</v>
      </c>
      <c r="K28" s="4" t="s">
        <v>1039</v>
      </c>
      <c r="L28" t="str">
        <f t="shared" si="4"/>
        <v/>
      </c>
    </row>
    <row r="29" spans="1:12" hidden="1" x14ac:dyDescent="0.25">
      <c r="A29" s="4" t="s">
        <v>1088</v>
      </c>
      <c r="B29" s="4" t="str">
        <f t="shared" si="0"/>
        <v>Pearl Cont. Exports</v>
      </c>
      <c r="C29" s="4" t="s">
        <v>696</v>
      </c>
      <c r="D29" s="11">
        <f t="shared" si="1"/>
        <v>45131</v>
      </c>
      <c r="E29" s="11" t="s">
        <v>1089</v>
      </c>
      <c r="F29" s="11">
        <f t="shared" si="2"/>
        <v>45450</v>
      </c>
      <c r="G29" s="4" t="s">
        <v>1090</v>
      </c>
      <c r="H29" s="10">
        <v>4930938</v>
      </c>
      <c r="I29" s="10">
        <v>4930938</v>
      </c>
      <c r="J29" s="10" t="str">
        <f t="shared" si="3"/>
        <v>Overdue</v>
      </c>
      <c r="K29" s="4" t="s">
        <v>1032</v>
      </c>
      <c r="L29" t="str">
        <f t="shared" si="4"/>
        <v>CHECK</v>
      </c>
    </row>
    <row r="30" spans="1:12" hidden="1" x14ac:dyDescent="0.25">
      <c r="A30" s="4" t="s">
        <v>1091</v>
      </c>
      <c r="B30" s="4" t="str">
        <f t="shared" si="0"/>
        <v>Star Line Traders</v>
      </c>
      <c r="C30" s="4" t="s">
        <v>701</v>
      </c>
      <c r="D30" s="11">
        <f t="shared" si="1"/>
        <v>45440</v>
      </c>
      <c r="E30" s="11" t="s">
        <v>1092</v>
      </c>
      <c r="F30" s="11">
        <f t="shared" si="2"/>
        <v>46089</v>
      </c>
      <c r="G30" s="4" t="s">
        <v>1093</v>
      </c>
      <c r="H30" s="10">
        <v>4182066</v>
      </c>
      <c r="I30" s="10">
        <v>2091033</v>
      </c>
      <c r="J30" s="10" t="str">
        <f t="shared" si="3"/>
        <v>Outstanding</v>
      </c>
      <c r="K30" s="4" t="s">
        <v>1019</v>
      </c>
      <c r="L30" t="str">
        <f t="shared" si="4"/>
        <v>CHECK</v>
      </c>
    </row>
    <row r="31" spans="1:12" hidden="1" x14ac:dyDescent="0.25">
      <c r="A31" s="4" t="s">
        <v>1094</v>
      </c>
      <c r="B31" s="4" t="str">
        <f t="shared" si="0"/>
        <v>Star Line Traders</v>
      </c>
      <c r="C31" s="4" t="s">
        <v>701</v>
      </c>
      <c r="D31" s="11">
        <f t="shared" si="1"/>
        <v>45664</v>
      </c>
      <c r="E31" s="11" t="s">
        <v>1095</v>
      </c>
      <c r="F31" s="11">
        <f t="shared" si="2"/>
        <v>46068</v>
      </c>
      <c r="G31" s="4" t="s">
        <v>1096</v>
      </c>
      <c r="H31" s="10">
        <v>2279101</v>
      </c>
      <c r="I31" s="10">
        <v>1139550</v>
      </c>
      <c r="J31" s="10" t="str">
        <f t="shared" si="3"/>
        <v>Partially Paid</v>
      </c>
      <c r="K31" s="4" t="s">
        <v>1039</v>
      </c>
      <c r="L31" t="str">
        <f t="shared" si="4"/>
        <v>CHECK</v>
      </c>
    </row>
    <row r="32" spans="1:12" x14ac:dyDescent="0.25">
      <c r="A32" s="4" t="s">
        <v>1097</v>
      </c>
      <c r="B32" s="4" t="str">
        <f t="shared" si="0"/>
        <v>Metro Retail Grp</v>
      </c>
      <c r="C32" s="4" t="s">
        <v>707</v>
      </c>
      <c r="D32" s="11">
        <f t="shared" si="1"/>
        <v>45925</v>
      </c>
      <c r="E32" s="11" t="s">
        <v>1098</v>
      </c>
      <c r="F32" s="11">
        <f t="shared" si="2"/>
        <v>45842</v>
      </c>
      <c r="G32" s="4" t="s">
        <v>1099</v>
      </c>
      <c r="H32" s="10">
        <v>2827054</v>
      </c>
      <c r="I32" s="10">
        <v>2120290</v>
      </c>
      <c r="J32" s="10" t="str">
        <f t="shared" si="3"/>
        <v>Outstanding</v>
      </c>
      <c r="K32" s="4" t="s">
        <v>1019</v>
      </c>
      <c r="L32" t="str">
        <f t="shared" si="4"/>
        <v/>
      </c>
    </row>
    <row r="33" spans="1:12" hidden="1" x14ac:dyDescent="0.25">
      <c r="A33" s="4" t="s">
        <v>1100</v>
      </c>
      <c r="B33" s="4" t="str">
        <f t="shared" si="0"/>
        <v>Metro Retail Grp</v>
      </c>
      <c r="C33" s="4" t="s">
        <v>707</v>
      </c>
      <c r="D33" s="11">
        <f t="shared" si="1"/>
        <v>45258</v>
      </c>
      <c r="E33" s="11" t="s">
        <v>1101</v>
      </c>
      <c r="F33" s="11">
        <f t="shared" si="2"/>
        <v>45394</v>
      </c>
      <c r="G33" s="4" t="s">
        <v>1102</v>
      </c>
      <c r="H33" s="10">
        <v>698477</v>
      </c>
      <c r="I33" s="10">
        <v>698477</v>
      </c>
      <c r="J33" s="10" t="str">
        <f t="shared" si="3"/>
        <v>Outstanding</v>
      </c>
      <c r="K33" s="4" t="s">
        <v>1009</v>
      </c>
      <c r="L33" t="str">
        <f t="shared" si="4"/>
        <v>CHECK</v>
      </c>
    </row>
    <row r="34" spans="1:12" hidden="1" x14ac:dyDescent="0.25">
      <c r="A34" s="4" t="s">
        <v>1103</v>
      </c>
      <c r="B34" s="4" t="str">
        <f t="shared" si="0"/>
        <v>Union Cotton Trdrs.</v>
      </c>
      <c r="C34" s="4" t="s">
        <v>712</v>
      </c>
      <c r="D34" s="11">
        <f t="shared" si="1"/>
        <v>44974</v>
      </c>
      <c r="E34" s="11" t="s">
        <v>1104</v>
      </c>
      <c r="F34" s="11">
        <f t="shared" si="2"/>
        <v>45407</v>
      </c>
      <c r="G34" s="4" t="s">
        <v>1075</v>
      </c>
      <c r="H34" s="10">
        <v>1503566</v>
      </c>
      <c r="I34" s="10">
        <v>1503566</v>
      </c>
      <c r="J34" s="10" t="str">
        <f t="shared" si="3"/>
        <v>Overdue</v>
      </c>
      <c r="K34" s="4" t="s">
        <v>1032</v>
      </c>
      <c r="L34" t="str">
        <f t="shared" si="4"/>
        <v>CHECK</v>
      </c>
    </row>
    <row r="35" spans="1:12" x14ac:dyDescent="0.25">
      <c r="A35" s="4" t="s">
        <v>1105</v>
      </c>
      <c r="B35" s="4" t="str">
        <f t="shared" si="0"/>
        <v>Union Cotton Trdrs.</v>
      </c>
      <c r="C35" s="4" t="s">
        <v>712</v>
      </c>
      <c r="D35" s="11">
        <f t="shared" si="1"/>
        <v>46000</v>
      </c>
      <c r="E35" s="11" t="s">
        <v>1106</v>
      </c>
      <c r="F35" s="11">
        <f t="shared" si="2"/>
        <v>45139</v>
      </c>
      <c r="G35" s="4" t="s">
        <v>1107</v>
      </c>
      <c r="H35" s="10">
        <v>321164</v>
      </c>
      <c r="I35" s="10">
        <v>0</v>
      </c>
      <c r="J35" s="10" t="str">
        <f t="shared" si="3"/>
        <v>Outstanding</v>
      </c>
      <c r="K35" s="4" t="s">
        <v>1009</v>
      </c>
      <c r="L35" t="str">
        <f t="shared" si="4"/>
        <v/>
      </c>
    </row>
    <row r="36" spans="1:12" x14ac:dyDescent="0.25">
      <c r="A36" s="4" t="s">
        <v>1108</v>
      </c>
      <c r="B36" s="4" t="str">
        <f t="shared" si="0"/>
        <v>Union Cotton Trdrs.</v>
      </c>
      <c r="C36" s="4" t="s">
        <v>712</v>
      </c>
      <c r="D36" s="11">
        <f t="shared" si="1"/>
        <v>45834</v>
      </c>
      <c r="E36" s="11" t="s">
        <v>1109</v>
      </c>
      <c r="F36" s="11">
        <f t="shared" si="2"/>
        <v>45185</v>
      </c>
      <c r="G36" s="4" t="s">
        <v>1110</v>
      </c>
      <c r="H36" s="10">
        <v>2175312</v>
      </c>
      <c r="I36" s="10">
        <v>1087656</v>
      </c>
      <c r="J36" s="10" t="str">
        <f t="shared" si="3"/>
        <v>Paid</v>
      </c>
      <c r="K36" s="4" t="s">
        <v>1005</v>
      </c>
      <c r="L36" t="str">
        <f t="shared" si="4"/>
        <v/>
      </c>
    </row>
    <row r="37" spans="1:12" hidden="1" x14ac:dyDescent="0.25">
      <c r="A37" s="4" t="s">
        <v>1111</v>
      </c>
      <c r="B37" s="4" t="str">
        <f t="shared" si="0"/>
        <v>Crescent Steel Wrks</v>
      </c>
      <c r="C37" s="4" t="s">
        <v>717</v>
      </c>
      <c r="D37" s="11">
        <f t="shared" si="1"/>
        <v>45289</v>
      </c>
      <c r="E37" s="11" t="s">
        <v>1112</v>
      </c>
      <c r="F37" s="11">
        <f t="shared" si="2"/>
        <v>46150</v>
      </c>
      <c r="G37" s="4" t="s">
        <v>1113</v>
      </c>
      <c r="H37" s="10">
        <v>1233425</v>
      </c>
      <c r="I37" s="10">
        <v>925068</v>
      </c>
      <c r="J37" s="10" t="str">
        <f t="shared" si="3"/>
        <v>Overdue</v>
      </c>
      <c r="K37" s="4" t="s">
        <v>1032</v>
      </c>
      <c r="L37" t="str">
        <f t="shared" si="4"/>
        <v>CHECK</v>
      </c>
    </row>
    <row r="38" spans="1:12" hidden="1" x14ac:dyDescent="0.25">
      <c r="A38" s="4" t="s">
        <v>1114</v>
      </c>
      <c r="B38" s="4" t="str">
        <f t="shared" si="0"/>
        <v>Crescent Steel Wrks</v>
      </c>
      <c r="C38" s="4" t="s">
        <v>717</v>
      </c>
      <c r="D38" s="11">
        <f t="shared" si="1"/>
        <v>45459</v>
      </c>
      <c r="E38" s="11" t="s">
        <v>1115</v>
      </c>
      <c r="F38" s="11">
        <f t="shared" si="2"/>
        <v>45548</v>
      </c>
      <c r="G38" s="4" t="s">
        <v>1116</v>
      </c>
      <c r="H38" s="10">
        <v>3168412</v>
      </c>
      <c r="I38" s="10">
        <v>0</v>
      </c>
      <c r="J38" s="10" t="str">
        <f t="shared" si="3"/>
        <v>Outstanding</v>
      </c>
      <c r="K38" s="4" t="s">
        <v>1009</v>
      </c>
      <c r="L38" t="str">
        <f t="shared" si="4"/>
        <v>CHECK</v>
      </c>
    </row>
    <row r="39" spans="1:12" x14ac:dyDescent="0.25">
      <c r="A39" s="4" t="s">
        <v>1117</v>
      </c>
      <c r="B39" s="4" t="str">
        <f t="shared" si="0"/>
        <v>Faisal Steel Ind'S.</v>
      </c>
      <c r="C39" s="4" t="s">
        <v>723</v>
      </c>
      <c r="D39" s="11">
        <f t="shared" si="1"/>
        <v>45934</v>
      </c>
      <c r="E39" s="11" t="s">
        <v>1118</v>
      </c>
      <c r="F39" s="11">
        <f t="shared" si="2"/>
        <v>45540</v>
      </c>
      <c r="G39" s="4" t="s">
        <v>1119</v>
      </c>
      <c r="H39" s="10">
        <v>4588734</v>
      </c>
      <c r="I39" s="10">
        <v>4588734</v>
      </c>
      <c r="J39" s="10" t="str">
        <f t="shared" si="3"/>
        <v>Overdue</v>
      </c>
      <c r="K39" s="4" t="s">
        <v>1032</v>
      </c>
      <c r="L39" t="str">
        <f t="shared" si="4"/>
        <v/>
      </c>
    </row>
    <row r="40" spans="1:12" x14ac:dyDescent="0.25">
      <c r="A40" s="4" t="s">
        <v>1120</v>
      </c>
      <c r="B40" s="4" t="str">
        <f t="shared" si="0"/>
        <v>Faisal Steel Ind'S.</v>
      </c>
      <c r="C40" s="4" t="s">
        <v>723</v>
      </c>
      <c r="D40" s="11">
        <f t="shared" si="1"/>
        <v>46249</v>
      </c>
      <c r="E40" s="11" t="s">
        <v>1121</v>
      </c>
      <c r="F40" s="11">
        <f t="shared" si="2"/>
        <v>45701</v>
      </c>
      <c r="G40" s="4" t="s">
        <v>1122</v>
      </c>
      <c r="H40" s="10">
        <v>2196280</v>
      </c>
      <c r="I40" s="10">
        <v>2196280</v>
      </c>
      <c r="J40" s="10" t="str">
        <f t="shared" si="3"/>
        <v>Outstanding</v>
      </c>
      <c r="K40" s="4" t="s">
        <v>1009</v>
      </c>
      <c r="L40" t="str">
        <f t="shared" si="4"/>
        <v/>
      </c>
    </row>
    <row r="41" spans="1:12" x14ac:dyDescent="0.25">
      <c r="A41" s="4" t="s">
        <v>1123</v>
      </c>
      <c r="B41" s="4" t="str">
        <f t="shared" si="0"/>
        <v>Blue Ocean Logistic'S</v>
      </c>
      <c r="C41" s="4" t="s">
        <v>728</v>
      </c>
      <c r="D41" s="11">
        <f t="shared" si="1"/>
        <v>45206</v>
      </c>
      <c r="E41" s="11" t="s">
        <v>1124</v>
      </c>
      <c r="F41" s="11">
        <f t="shared" si="2"/>
        <v>45153</v>
      </c>
      <c r="G41" s="4" t="s">
        <v>1125</v>
      </c>
      <c r="H41" s="10">
        <v>674317</v>
      </c>
      <c r="I41" s="10">
        <v>674317</v>
      </c>
      <c r="J41" s="10" t="str">
        <f t="shared" si="3"/>
        <v>Paid</v>
      </c>
      <c r="K41" s="4" t="s">
        <v>1005</v>
      </c>
      <c r="L41" t="str">
        <f t="shared" si="4"/>
        <v/>
      </c>
    </row>
    <row r="42" spans="1:12" x14ac:dyDescent="0.25">
      <c r="A42" s="4" t="s">
        <v>1126</v>
      </c>
      <c r="B42" s="4" t="str">
        <f t="shared" si="0"/>
        <v>Blue Ocean Logistic'S</v>
      </c>
      <c r="C42" s="4" t="s">
        <v>728</v>
      </c>
      <c r="D42" s="11">
        <f t="shared" si="1"/>
        <v>45504</v>
      </c>
      <c r="E42" s="11" t="s">
        <v>1127</v>
      </c>
      <c r="F42" s="11">
        <f t="shared" si="2"/>
        <v>45183</v>
      </c>
      <c r="G42" s="4" t="s">
        <v>1128</v>
      </c>
      <c r="H42" s="10">
        <v>1659757</v>
      </c>
      <c r="I42" s="10">
        <v>1659757</v>
      </c>
      <c r="J42" s="10" t="str">
        <f t="shared" si="3"/>
        <v>Overdue</v>
      </c>
      <c r="K42" s="4" t="s">
        <v>1032</v>
      </c>
      <c r="L42" t="str">
        <f t="shared" si="4"/>
        <v/>
      </c>
    </row>
    <row r="43" spans="1:12" x14ac:dyDescent="0.25">
      <c r="A43" s="4" t="s">
        <v>1129</v>
      </c>
      <c r="B43" s="4" t="str">
        <f t="shared" si="0"/>
        <v>Blue Ocean Logistic'S</v>
      </c>
      <c r="C43" s="4" t="s">
        <v>728</v>
      </c>
      <c r="D43" s="11">
        <f t="shared" si="1"/>
        <v>45603</v>
      </c>
      <c r="E43" s="11" t="s">
        <v>1130</v>
      </c>
      <c r="F43" s="11">
        <f t="shared" si="2"/>
        <v>45226</v>
      </c>
      <c r="G43" s="4" t="s">
        <v>1131</v>
      </c>
      <c r="H43" s="10">
        <v>3989667</v>
      </c>
      <c r="I43" s="10">
        <v>3989667</v>
      </c>
      <c r="J43" s="10" t="str">
        <f t="shared" si="3"/>
        <v>Overdue</v>
      </c>
      <c r="K43" s="4" t="s">
        <v>1032</v>
      </c>
      <c r="L43" t="str">
        <f t="shared" si="4"/>
        <v/>
      </c>
    </row>
    <row r="44" spans="1:12" x14ac:dyDescent="0.25">
      <c r="A44" s="4" t="s">
        <v>1132</v>
      </c>
      <c r="B44" s="4" t="str">
        <f t="shared" si="0"/>
        <v>Karachi Electronics</v>
      </c>
      <c r="C44" s="4" t="s">
        <v>733</v>
      </c>
      <c r="D44" s="11">
        <f t="shared" si="1"/>
        <v>45834</v>
      </c>
      <c r="E44" s="11" t="s">
        <v>1133</v>
      </c>
      <c r="F44" s="11">
        <f t="shared" si="2"/>
        <v>45202</v>
      </c>
      <c r="G44" s="4" t="s">
        <v>1134</v>
      </c>
      <c r="H44" s="10" t="s">
        <v>1135</v>
      </c>
      <c r="I44" s="10">
        <v>0</v>
      </c>
      <c r="J44" s="10" t="str">
        <f t="shared" si="3"/>
        <v>Partially Paid</v>
      </c>
      <c r="K44" s="4" t="s">
        <v>1039</v>
      </c>
      <c r="L44" t="str">
        <f t="shared" si="4"/>
        <v/>
      </c>
    </row>
    <row r="45" spans="1:12" x14ac:dyDescent="0.25">
      <c r="A45" s="4" t="s">
        <v>1136</v>
      </c>
      <c r="B45" s="4" t="str">
        <f t="shared" si="0"/>
        <v>Delta Chemical Ind</v>
      </c>
      <c r="C45" s="4" t="s">
        <v>739</v>
      </c>
      <c r="D45" s="11">
        <f t="shared" si="1"/>
        <v>45251</v>
      </c>
      <c r="E45" s="11" t="s">
        <v>1137</v>
      </c>
      <c r="F45" s="11">
        <f t="shared" si="2"/>
        <v>45013</v>
      </c>
      <c r="G45" s="4" t="s">
        <v>1138</v>
      </c>
      <c r="H45" s="10" t="s">
        <v>1139</v>
      </c>
      <c r="I45" s="10">
        <v>1359081</v>
      </c>
      <c r="J45" s="10" t="str">
        <f t="shared" si="3"/>
        <v>Paid</v>
      </c>
      <c r="K45" s="4" t="s">
        <v>1064</v>
      </c>
      <c r="L45" t="str">
        <f t="shared" si="4"/>
        <v/>
      </c>
    </row>
    <row r="46" spans="1:12" hidden="1" x14ac:dyDescent="0.25">
      <c r="A46" s="4" t="s">
        <v>1140</v>
      </c>
      <c r="B46" s="4" t="str">
        <f t="shared" si="0"/>
        <v>Delta Chemical Ind</v>
      </c>
      <c r="C46" s="4" t="s">
        <v>739</v>
      </c>
      <c r="D46" s="11">
        <f t="shared" si="1"/>
        <v>44957</v>
      </c>
      <c r="E46" s="11" t="s">
        <v>1141</v>
      </c>
      <c r="F46" s="11">
        <f t="shared" si="2"/>
        <v>45492</v>
      </c>
      <c r="G46" s="4" t="s">
        <v>1142</v>
      </c>
      <c r="H46" s="10">
        <v>3742011</v>
      </c>
      <c r="I46" s="10">
        <v>1871005</v>
      </c>
      <c r="J46" s="10" t="str">
        <f t="shared" si="3"/>
        <v>Paid</v>
      </c>
      <c r="K46" s="4" t="s">
        <v>1064</v>
      </c>
      <c r="L46" t="str">
        <f t="shared" si="4"/>
        <v>CHECK</v>
      </c>
    </row>
    <row r="47" spans="1:12" hidden="1" x14ac:dyDescent="0.25">
      <c r="A47" s="4" t="s">
        <v>1143</v>
      </c>
      <c r="B47" s="4" t="str">
        <f t="shared" si="0"/>
        <v>Highland Tea Trdrs</v>
      </c>
      <c r="C47" s="4" t="s">
        <v>745</v>
      </c>
      <c r="D47" s="11">
        <f t="shared" si="1"/>
        <v>45575</v>
      </c>
      <c r="E47" s="11" t="s">
        <v>1144</v>
      </c>
      <c r="F47" s="11">
        <f t="shared" si="2"/>
        <v>46247</v>
      </c>
      <c r="G47" s="4" t="s">
        <v>1145</v>
      </c>
      <c r="H47" s="10">
        <v>4192322</v>
      </c>
      <c r="I47" s="10">
        <v>4192322</v>
      </c>
      <c r="J47" s="10" t="str">
        <f t="shared" si="3"/>
        <v>Overdue</v>
      </c>
      <c r="K47" s="4" t="s">
        <v>1032</v>
      </c>
      <c r="L47" t="str">
        <f t="shared" si="4"/>
        <v>CHECK</v>
      </c>
    </row>
    <row r="48" spans="1:12" x14ac:dyDescent="0.25">
      <c r="A48" s="4" t="s">
        <v>1146</v>
      </c>
      <c r="B48" s="4" t="str">
        <f t="shared" si="0"/>
        <v>Metro Pharma Dist.</v>
      </c>
      <c r="C48" s="4" t="s">
        <v>751</v>
      </c>
      <c r="D48" s="11">
        <f t="shared" si="1"/>
        <v>45315</v>
      </c>
      <c r="E48" s="11" t="s">
        <v>1147</v>
      </c>
      <c r="F48" s="11">
        <f t="shared" si="2"/>
        <v>45309</v>
      </c>
      <c r="G48" s="4" t="s">
        <v>1148</v>
      </c>
      <c r="H48" s="10">
        <v>4652783</v>
      </c>
      <c r="I48" s="10">
        <v>0</v>
      </c>
      <c r="J48" s="10" t="str">
        <f t="shared" si="3"/>
        <v>Paid</v>
      </c>
      <c r="K48" s="4" t="s">
        <v>1005</v>
      </c>
      <c r="L48" t="str">
        <f t="shared" si="4"/>
        <v/>
      </c>
    </row>
    <row r="49" spans="1:12" hidden="1" x14ac:dyDescent="0.25">
      <c r="A49" s="4" t="s">
        <v>1149</v>
      </c>
      <c r="B49" s="4" t="str">
        <f t="shared" si="0"/>
        <v>Metro Pharma Dist.</v>
      </c>
      <c r="C49" s="4" t="s">
        <v>751</v>
      </c>
      <c r="D49" s="11">
        <f t="shared" si="1"/>
        <v>45244</v>
      </c>
      <c r="E49" s="11" t="s">
        <v>1150</v>
      </c>
      <c r="F49" s="11">
        <f t="shared" si="2"/>
        <v>45532</v>
      </c>
      <c r="G49" s="4" t="s">
        <v>1151</v>
      </c>
      <c r="H49" s="10">
        <v>677778</v>
      </c>
      <c r="I49" s="10">
        <v>508333</v>
      </c>
      <c r="J49" s="10" t="str">
        <f t="shared" si="3"/>
        <v>Outstanding</v>
      </c>
      <c r="K49" s="4" t="s">
        <v>1009</v>
      </c>
      <c r="L49" t="str">
        <f t="shared" si="4"/>
        <v>CHECK</v>
      </c>
    </row>
    <row r="50" spans="1:12" x14ac:dyDescent="0.25">
      <c r="A50" s="4" t="s">
        <v>1152</v>
      </c>
      <c r="B50" s="4" t="str">
        <f t="shared" si="0"/>
        <v>Metro Pharma Dist.</v>
      </c>
      <c r="C50" s="4" t="s">
        <v>751</v>
      </c>
      <c r="D50" s="11">
        <f t="shared" si="1"/>
        <v>46030</v>
      </c>
      <c r="E50" s="11" t="s">
        <v>1153</v>
      </c>
      <c r="F50" s="11">
        <f t="shared" si="2"/>
        <v>45315</v>
      </c>
      <c r="G50" s="4" t="s">
        <v>1147</v>
      </c>
      <c r="H50" s="10">
        <v>2790177</v>
      </c>
      <c r="I50" s="10">
        <v>2790177</v>
      </c>
      <c r="J50" s="10" t="str">
        <f t="shared" si="3"/>
        <v>Paid</v>
      </c>
      <c r="K50" s="4" t="s">
        <v>1005</v>
      </c>
      <c r="L50" t="str">
        <f t="shared" si="4"/>
        <v/>
      </c>
    </row>
    <row r="51" spans="1:12" hidden="1" x14ac:dyDescent="0.25">
      <c r="A51" s="4" t="s">
        <v>1154</v>
      </c>
      <c r="B51" s="4" t="str">
        <f t="shared" si="0"/>
        <v>Al Habib Textiles</v>
      </c>
      <c r="C51" s="4" t="s">
        <v>756</v>
      </c>
      <c r="D51" s="11">
        <f t="shared" si="1"/>
        <v>45080</v>
      </c>
      <c r="E51" s="11" t="s">
        <v>1155</v>
      </c>
      <c r="F51" s="11">
        <f t="shared" si="2"/>
        <v>45146</v>
      </c>
      <c r="G51" s="4" t="s">
        <v>182</v>
      </c>
      <c r="H51" s="10">
        <v>1188625</v>
      </c>
      <c r="I51" s="10">
        <v>1188625</v>
      </c>
      <c r="J51" s="10" t="str">
        <f t="shared" si="3"/>
        <v>Paid</v>
      </c>
      <c r="K51" s="4" t="s">
        <v>1005</v>
      </c>
      <c r="L51" t="str">
        <f t="shared" si="4"/>
        <v>CHECK</v>
      </c>
    </row>
    <row r="52" spans="1:12" x14ac:dyDescent="0.25">
      <c r="A52" s="4" t="s">
        <v>1156</v>
      </c>
      <c r="B52" s="4" t="str">
        <f t="shared" si="0"/>
        <v>Lahore Autoparts</v>
      </c>
      <c r="C52" s="4" t="s">
        <v>761</v>
      </c>
      <c r="D52" s="11">
        <f t="shared" si="1"/>
        <v>46167</v>
      </c>
      <c r="E52" s="11" t="s">
        <v>1157</v>
      </c>
      <c r="F52" s="11">
        <f t="shared" si="2"/>
        <v>45072</v>
      </c>
      <c r="G52" s="4" t="s">
        <v>1158</v>
      </c>
      <c r="H52" s="10">
        <v>3173200</v>
      </c>
      <c r="I52" s="10">
        <v>3173200</v>
      </c>
      <c r="J52" s="10" t="str">
        <f t="shared" si="3"/>
        <v>Paid</v>
      </c>
      <c r="K52" s="4" t="s">
        <v>1005</v>
      </c>
      <c r="L52" t="str">
        <f t="shared" si="4"/>
        <v/>
      </c>
    </row>
    <row r="53" spans="1:12" x14ac:dyDescent="0.25">
      <c r="A53" s="4" t="s">
        <v>1159</v>
      </c>
      <c r="B53" s="4" t="str">
        <f t="shared" si="0"/>
        <v>Lahore Autoparts</v>
      </c>
      <c r="C53" s="4" t="s">
        <v>761</v>
      </c>
      <c r="D53" s="11">
        <f t="shared" si="1"/>
        <v>46190</v>
      </c>
      <c r="E53" s="11" t="s">
        <v>1160</v>
      </c>
      <c r="F53" s="11">
        <f t="shared" si="2"/>
        <v>46010</v>
      </c>
      <c r="G53" s="4" t="s">
        <v>1161</v>
      </c>
      <c r="H53" s="10">
        <v>3195972</v>
      </c>
      <c r="I53" s="10">
        <v>3195972</v>
      </c>
      <c r="J53" s="10" t="str">
        <f t="shared" si="3"/>
        <v>Partially Paid</v>
      </c>
      <c r="K53" s="4" t="s">
        <v>1039</v>
      </c>
      <c r="L53" t="str">
        <f t="shared" si="4"/>
        <v/>
      </c>
    </row>
    <row r="54" spans="1:12" x14ac:dyDescent="0.25">
      <c r="A54" s="4" t="s">
        <v>1162</v>
      </c>
      <c r="B54" s="4" t="str">
        <f t="shared" si="0"/>
        <v>Coastal Shipping Svcs.</v>
      </c>
      <c r="C54" s="4" t="s">
        <v>767</v>
      </c>
      <c r="D54" s="11">
        <f t="shared" si="1"/>
        <v>46070</v>
      </c>
      <c r="E54" s="11" t="s">
        <v>1163</v>
      </c>
      <c r="F54" s="11">
        <f t="shared" si="2"/>
        <v>46070</v>
      </c>
      <c r="G54" s="4" t="s">
        <v>1164</v>
      </c>
      <c r="H54" s="10">
        <v>4881738</v>
      </c>
      <c r="I54" s="10">
        <v>4881738</v>
      </c>
      <c r="J54" s="10" t="str">
        <f t="shared" si="3"/>
        <v>Partially Paid</v>
      </c>
      <c r="K54" s="4" t="s">
        <v>1039</v>
      </c>
      <c r="L54" t="str">
        <f t="shared" si="4"/>
        <v/>
      </c>
    </row>
    <row r="55" spans="1:12" x14ac:dyDescent="0.25">
      <c r="A55" s="4" t="s">
        <v>1165</v>
      </c>
      <c r="B55" s="4" t="str">
        <f t="shared" si="0"/>
        <v>Coastal Shipping Svcs.</v>
      </c>
      <c r="C55" s="4" t="s">
        <v>767</v>
      </c>
      <c r="D55" s="11">
        <f t="shared" si="1"/>
        <v>45960</v>
      </c>
      <c r="E55" s="11" t="s">
        <v>1166</v>
      </c>
      <c r="F55" s="11">
        <f t="shared" si="2"/>
        <v>45250</v>
      </c>
      <c r="G55" s="4" t="s">
        <v>1167</v>
      </c>
      <c r="H55" s="10">
        <v>4713444</v>
      </c>
      <c r="I55" s="10">
        <v>0</v>
      </c>
      <c r="J55" s="10" t="str">
        <f t="shared" si="3"/>
        <v>Outstanding</v>
      </c>
      <c r="K55" s="4" t="s">
        <v>1009</v>
      </c>
      <c r="L55" t="str">
        <f t="shared" si="4"/>
        <v/>
      </c>
    </row>
    <row r="56" spans="1:12" x14ac:dyDescent="0.25">
      <c r="A56" s="4" t="s">
        <v>1168</v>
      </c>
      <c r="B56" s="4" t="str">
        <f t="shared" si="0"/>
        <v>Horizon Pharma</v>
      </c>
      <c r="C56" s="4" t="s">
        <v>773</v>
      </c>
      <c r="D56" s="11">
        <f t="shared" si="1"/>
        <v>46173</v>
      </c>
      <c r="E56" s="11" t="s">
        <v>1169</v>
      </c>
      <c r="F56" s="11">
        <f t="shared" si="2"/>
        <v>46080</v>
      </c>
      <c r="G56" s="4" t="s">
        <v>1170</v>
      </c>
      <c r="H56" s="10">
        <v>3712034</v>
      </c>
      <c r="I56" s="10">
        <v>1856017</v>
      </c>
      <c r="J56" s="10" t="str">
        <f t="shared" si="3"/>
        <v>Paid</v>
      </c>
      <c r="K56" s="4" t="s">
        <v>1064</v>
      </c>
      <c r="L56" t="str">
        <f t="shared" si="4"/>
        <v/>
      </c>
    </row>
    <row r="57" spans="1:12" hidden="1" x14ac:dyDescent="0.25">
      <c r="A57" s="4" t="s">
        <v>1171</v>
      </c>
      <c r="B57" s="4" t="str">
        <f t="shared" si="0"/>
        <v>Horizon Pharma</v>
      </c>
      <c r="C57" s="4" t="s">
        <v>773</v>
      </c>
      <c r="D57" s="11">
        <f t="shared" si="1"/>
        <v>44960</v>
      </c>
      <c r="E57" s="11" t="s">
        <v>1172</v>
      </c>
      <c r="F57" s="11">
        <f t="shared" si="2"/>
        <v>45203</v>
      </c>
      <c r="G57" s="4" t="s">
        <v>1173</v>
      </c>
      <c r="H57" s="10">
        <v>2486409</v>
      </c>
      <c r="I57" s="10">
        <v>0</v>
      </c>
      <c r="J57" s="10" t="str">
        <f t="shared" si="3"/>
        <v>Outstanding</v>
      </c>
      <c r="K57" s="4" t="s">
        <v>1009</v>
      </c>
      <c r="L57" t="str">
        <f t="shared" si="4"/>
        <v>CHECK</v>
      </c>
    </row>
    <row r="58" spans="1:12" x14ac:dyDescent="0.25">
      <c r="A58" s="4" t="s">
        <v>1174</v>
      </c>
      <c r="B58" s="4" t="str">
        <f t="shared" si="0"/>
        <v>Sunrise Textile Mill</v>
      </c>
      <c r="C58" s="4" t="s">
        <v>778</v>
      </c>
      <c r="D58" s="11">
        <f t="shared" si="1"/>
        <v>45655</v>
      </c>
      <c r="E58" s="11" t="s">
        <v>1175</v>
      </c>
      <c r="F58" s="11">
        <f t="shared" si="2"/>
        <v>45210</v>
      </c>
      <c r="G58" s="4" t="s">
        <v>1176</v>
      </c>
      <c r="H58" s="10">
        <v>416555</v>
      </c>
      <c r="I58" s="10">
        <v>0</v>
      </c>
      <c r="J58" s="10" t="str">
        <f t="shared" si="3"/>
        <v>Outstanding</v>
      </c>
      <c r="K58" s="4" t="s">
        <v>1009</v>
      </c>
      <c r="L58" t="str">
        <f t="shared" si="4"/>
        <v/>
      </c>
    </row>
    <row r="59" spans="1:12" x14ac:dyDescent="0.25">
      <c r="A59" s="4" t="s">
        <v>1177</v>
      </c>
      <c r="B59" s="4" t="str">
        <f t="shared" si="0"/>
        <v>Sunrise Textile Mill</v>
      </c>
      <c r="C59" s="4" t="s">
        <v>778</v>
      </c>
      <c r="D59" s="11">
        <f t="shared" si="1"/>
        <v>46329</v>
      </c>
      <c r="E59" s="11" t="s">
        <v>1178</v>
      </c>
      <c r="F59" s="11">
        <f t="shared" si="2"/>
        <v>45085</v>
      </c>
      <c r="G59" s="4" t="s">
        <v>1179</v>
      </c>
      <c r="H59" s="10">
        <v>4885593</v>
      </c>
      <c r="I59" s="10">
        <v>0</v>
      </c>
      <c r="J59" s="10" t="str">
        <f t="shared" si="3"/>
        <v>Outstanding</v>
      </c>
      <c r="K59" s="4" t="s">
        <v>1019</v>
      </c>
      <c r="L59" t="str">
        <f t="shared" si="4"/>
        <v/>
      </c>
    </row>
    <row r="60" spans="1:12" x14ac:dyDescent="0.25">
      <c r="A60" s="4" t="s">
        <v>1180</v>
      </c>
      <c r="B60" s="4" t="str">
        <f t="shared" si="0"/>
        <v>Wazir Ali And Sons</v>
      </c>
      <c r="C60" s="4" t="s">
        <v>783</v>
      </c>
      <c r="D60" s="11">
        <f t="shared" si="1"/>
        <v>45708</v>
      </c>
      <c r="E60" s="11" t="s">
        <v>1181</v>
      </c>
      <c r="F60" s="11">
        <f t="shared" si="2"/>
        <v>45041</v>
      </c>
      <c r="G60" s="4" t="s">
        <v>1182</v>
      </c>
      <c r="H60" s="10">
        <v>413495</v>
      </c>
      <c r="I60" s="10">
        <v>310121</v>
      </c>
      <c r="J60" s="10" t="str">
        <f t="shared" si="3"/>
        <v>Paid</v>
      </c>
      <c r="K60" s="4" t="s">
        <v>1005</v>
      </c>
      <c r="L60" t="str">
        <f t="shared" si="4"/>
        <v/>
      </c>
    </row>
    <row r="61" spans="1:12" x14ac:dyDescent="0.25">
      <c r="A61" s="4" t="s">
        <v>1183</v>
      </c>
      <c r="B61" s="4" t="str">
        <f t="shared" si="0"/>
        <v>Ravi River Mill</v>
      </c>
      <c r="C61" s="4" t="s">
        <v>788</v>
      </c>
      <c r="D61" s="11">
        <f t="shared" si="1"/>
        <v>46000</v>
      </c>
      <c r="E61" s="11" t="s">
        <v>1106</v>
      </c>
      <c r="F61" s="11">
        <f t="shared" si="2"/>
        <v>45580</v>
      </c>
      <c r="G61" s="4" t="s">
        <v>1184</v>
      </c>
      <c r="H61" s="10">
        <v>554058</v>
      </c>
      <c r="I61" s="10">
        <v>277029</v>
      </c>
      <c r="J61" s="10" t="str">
        <f t="shared" si="3"/>
        <v>Paid</v>
      </c>
      <c r="K61" s="4" t="s">
        <v>1005</v>
      </c>
      <c r="L61" t="str">
        <f t="shared" si="4"/>
        <v/>
      </c>
    </row>
    <row r="62" spans="1:12" x14ac:dyDescent="0.25">
      <c r="A62" s="4" t="s">
        <v>1185</v>
      </c>
      <c r="B62" s="4" t="str">
        <f t="shared" si="0"/>
        <v>Greenfields Agri.</v>
      </c>
      <c r="C62" s="4" t="s">
        <v>790</v>
      </c>
      <c r="D62" s="11">
        <f t="shared" si="1"/>
        <v>45734</v>
      </c>
      <c r="E62" s="11" t="s">
        <v>1186</v>
      </c>
      <c r="F62" s="11">
        <f t="shared" si="2"/>
        <v>45197</v>
      </c>
      <c r="G62" s="4" t="s">
        <v>1187</v>
      </c>
      <c r="H62" s="10">
        <v>3723339</v>
      </c>
      <c r="I62" s="10">
        <v>1861669</v>
      </c>
      <c r="J62" s="10" t="str">
        <f t="shared" si="3"/>
        <v>Outstanding</v>
      </c>
      <c r="K62" s="4" t="s">
        <v>1019</v>
      </c>
      <c r="L62" t="str">
        <f t="shared" si="4"/>
        <v/>
      </c>
    </row>
    <row r="63" spans="1:12" hidden="1" x14ac:dyDescent="0.25">
      <c r="A63" s="4" t="s">
        <v>1188</v>
      </c>
      <c r="B63" s="4" t="str">
        <f t="shared" si="0"/>
        <v>Alrehman Rice Mills</v>
      </c>
      <c r="C63" s="4" t="s">
        <v>796</v>
      </c>
      <c r="D63" s="11">
        <f t="shared" si="1"/>
        <v>45332</v>
      </c>
      <c r="E63" s="11" t="s">
        <v>1189</v>
      </c>
      <c r="F63" s="11">
        <f t="shared" si="2"/>
        <v>45736</v>
      </c>
      <c r="G63" s="4" t="s">
        <v>1190</v>
      </c>
      <c r="H63" s="10">
        <v>4134270</v>
      </c>
      <c r="I63" s="10">
        <v>3100702</v>
      </c>
      <c r="J63" s="10" t="str">
        <f t="shared" si="3"/>
        <v>Outstanding</v>
      </c>
      <c r="K63" s="4" t="s">
        <v>1009</v>
      </c>
      <c r="L63" t="str">
        <f t="shared" si="4"/>
        <v>CHECK</v>
      </c>
    </row>
    <row r="64" spans="1:12" x14ac:dyDescent="0.25">
      <c r="A64" s="4" t="s">
        <v>1191</v>
      </c>
      <c r="B64" s="4" t="str">
        <f t="shared" si="0"/>
        <v>Alrehman Rice Mills</v>
      </c>
      <c r="C64" s="4" t="s">
        <v>796</v>
      </c>
      <c r="D64" s="11">
        <f t="shared" si="1"/>
        <v>45794</v>
      </c>
      <c r="E64" s="11" t="s">
        <v>1192</v>
      </c>
      <c r="F64" s="11">
        <f t="shared" si="2"/>
        <v>45640</v>
      </c>
      <c r="G64" s="4" t="s">
        <v>1193</v>
      </c>
      <c r="H64" s="10">
        <v>1043968</v>
      </c>
      <c r="I64" s="10">
        <v>0</v>
      </c>
      <c r="J64" s="10" t="str">
        <f t="shared" si="3"/>
        <v>Outstanding</v>
      </c>
      <c r="K64" s="4" t="s">
        <v>1009</v>
      </c>
      <c r="L64" t="str">
        <f t="shared" si="4"/>
        <v/>
      </c>
    </row>
    <row r="65" spans="1:12" x14ac:dyDescent="0.25">
      <c r="A65" s="4" t="s">
        <v>1194</v>
      </c>
      <c r="B65" s="4" t="str">
        <f t="shared" si="0"/>
        <v>Crescent Steel Wrks</v>
      </c>
      <c r="C65" s="4" t="s">
        <v>802</v>
      </c>
      <c r="D65" s="11">
        <f t="shared" si="1"/>
        <v>45225</v>
      </c>
      <c r="E65" s="11" t="s">
        <v>1195</v>
      </c>
      <c r="F65" s="11">
        <f t="shared" si="2"/>
        <v>44961</v>
      </c>
      <c r="G65" s="4" t="s">
        <v>1196</v>
      </c>
      <c r="H65" s="10">
        <v>3809527</v>
      </c>
      <c r="I65" s="10">
        <v>2857145</v>
      </c>
      <c r="J65" s="10" t="str">
        <f t="shared" si="3"/>
        <v>Partially Paid</v>
      </c>
      <c r="K65" s="4" t="s">
        <v>1039</v>
      </c>
      <c r="L65" t="str">
        <f t="shared" si="4"/>
        <v/>
      </c>
    </row>
    <row r="66" spans="1:12" hidden="1" x14ac:dyDescent="0.25">
      <c r="A66" s="4" t="s">
        <v>1197</v>
      </c>
      <c r="B66" s="4" t="str">
        <f t="shared" ref="B66" si="5">PROPER(TRIM(C66))</f>
        <v>Crescent Steel Wrks</v>
      </c>
      <c r="C66" s="4" t="s">
        <v>802</v>
      </c>
      <c r="D66" s="11">
        <f t="shared" ref="D66" si="6">IF(ISNUMBER(E66),E66,IFERROR(DATEVALUE(E66),IFERROR(DATE(VALUE(RIGHT(E66,4)),VALUE(MID(E66,4,2)),VALUE(LEFT(E66,2))),"")))</f>
        <v>45154</v>
      </c>
      <c r="E66" s="11" t="s">
        <v>1198</v>
      </c>
      <c r="F66" s="11">
        <f t="shared" ref="F66" si="7">IF(ISNUMBER(G66),G66,IFERROR(DATEVALUE(G66),IFERROR(DATE(VALUE(RIGHT(G66,4)),VALUE(MID(G66,4,2)),VALUE(LEFT(G66,2))),"")))</f>
        <v>45848</v>
      </c>
      <c r="G66" s="4" t="s">
        <v>1199</v>
      </c>
      <c r="H66" s="10">
        <v>215203</v>
      </c>
      <c r="I66" s="10">
        <v>107601</v>
      </c>
      <c r="J66" s="10" t="str">
        <f t="shared" si="3"/>
        <v>Overdue</v>
      </c>
      <c r="K66" s="4" t="s">
        <v>1032</v>
      </c>
      <c r="L66" t="str">
        <f t="shared" si="4"/>
        <v>CHECK</v>
      </c>
    </row>
  </sheetData>
  <autoFilter ref="L1:L66" xr:uid="{00000000-0001-0000-0700-000000000000}">
    <filterColumn colId="0">
      <filters blank="1"/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Loan Book 2018-2019</vt:lpstr>
      <vt:lpstr>Loan Book 2020-2021</vt:lpstr>
      <vt:lpstr>Sheet1</vt:lpstr>
      <vt:lpstr>Loan Book 2022-2023</vt:lpstr>
      <vt:lpstr>SF_Accounts</vt:lpstr>
      <vt:lpstr>SF_Contacts</vt:lpstr>
      <vt:lpstr>SF_Opportunities</vt:lpstr>
      <vt:lpstr>Odoo_Customers</vt:lpstr>
      <vt:lpstr>Odoo_SalesOrders</vt:lpstr>
      <vt:lpstr>Odoo_Invoices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Abdul Moiz</cp:lastModifiedBy>
  <dcterms:created xsi:type="dcterms:W3CDTF">2026-09-11T22:55:33Z</dcterms:created>
  <dcterms:modified xsi:type="dcterms:W3CDTF">2026-09-13T07:11:01Z</dcterms:modified>
</cp:coreProperties>
</file>